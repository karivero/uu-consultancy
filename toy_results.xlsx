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canfield/Development/uu-consultancy/"/>
    </mc:Choice>
  </mc:AlternateContent>
  <xr:revisionPtr revIDLastSave="0" documentId="13_ncr:1_{AC03D3F3-FDF1-784F-93FF-3D509A59F6D3}" xr6:coauthVersionLast="47" xr6:coauthVersionMax="47" xr10:uidLastSave="{00000000-0000-0000-0000-000000000000}"/>
  <bookViews>
    <workbookView xWindow="0" yWindow="740" windowWidth="22660" windowHeight="12620" tabRatio="500" activeTab="1" xr2:uid="{00000000-000D-0000-FFFF-FFFF00000000}"/>
  </bookViews>
  <sheets>
    <sheet name="toc" sheetId="1" r:id="rId1"/>
    <sheet name="cap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10" i="1" l="1"/>
  <c r="A11" i="1"/>
  <c r="A4" i="1"/>
  <c r="A5" i="1"/>
  <c r="A9" i="1"/>
  <c r="A8" i="1"/>
  <c r="A7" i="1"/>
  <c r="A6" i="1"/>
  <c r="A3" i="1"/>
  <c r="A2" i="1"/>
</calcChain>
</file>

<file path=xl/sharedStrings.xml><?xml version="1.0" encoding="utf-8"?>
<sst xmlns="http://schemas.openxmlformats.org/spreadsheetml/2006/main" count="358" uniqueCount="44">
  <si>
    <t>id</t>
  </si>
  <si>
    <t>technology</t>
  </si>
  <si>
    <t>toc</t>
  </si>
  <si>
    <t>location</t>
  </si>
  <si>
    <t>aquathermal</t>
  </si>
  <si>
    <t>Enspijk</t>
  </si>
  <si>
    <t>geothermal</t>
  </si>
  <si>
    <t>gas</t>
  </si>
  <si>
    <t>Hilversum</t>
  </si>
  <si>
    <t>item</t>
  </si>
  <si>
    <t>investment</t>
  </si>
  <si>
    <t>Water Collectors</t>
  </si>
  <si>
    <t>Water Pipes, fittings, etc.</t>
  </si>
  <si>
    <t>E-Cabling</t>
  </si>
  <si>
    <t>Source-HP Pump</t>
  </si>
  <si>
    <t>Pump House</t>
  </si>
  <si>
    <t>Pipes Source to HP</t>
  </si>
  <si>
    <t>engineering, project, unforeseen for heat sources</t>
  </si>
  <si>
    <t>Heat Pump</t>
  </si>
  <si>
    <t>Piping Heat Pump</t>
  </si>
  <si>
    <t>Electrical Power Supply for Heat Pump</t>
  </si>
  <si>
    <t>Pump set including speed control</t>
  </si>
  <si>
    <t>Buffer Tanks</t>
  </si>
  <si>
    <t>Expansion Provisions, such as Valves</t>
  </si>
  <si>
    <t>Water Treatment</t>
  </si>
  <si>
    <t>E-Boiler</t>
  </si>
  <si>
    <t>E-Boiler Emergency Provision</t>
  </si>
  <si>
    <t>Piping and Hydraulics</t>
  </si>
  <si>
    <t>Control System</t>
  </si>
  <si>
    <t>Heat Plant Building</t>
  </si>
  <si>
    <t>Interior Fit-Out of the Heat Plant Building</t>
  </si>
  <si>
    <t>engineering, project, unforeseen for heat plant</t>
  </si>
  <si>
    <t>All Piping</t>
  </si>
  <si>
    <t>Aquathermal</t>
  </si>
  <si>
    <t>Geothermal</t>
  </si>
  <si>
    <t>Air-Water Ind.</t>
  </si>
  <si>
    <t>Air-Water Col.</t>
  </si>
  <si>
    <t>Gas</t>
  </si>
  <si>
    <t>air-to-water individual</t>
  </si>
  <si>
    <t>air-to-water collective</t>
  </si>
  <si>
    <t>category</t>
  </si>
  <si>
    <t>heat sources</t>
  </si>
  <si>
    <t>heat plant</t>
  </si>
  <si>
    <t>piping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</si>
</sst>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4" fontId="0" fillId="0" borderId="0" xfId="0" applyNumberFormat="1"/>
    <xf numFmtId="2" fontId="1" fillId="0" borderId="0" xfId="0" applyNumberFormat="1" applyFont="1"/>
    <xf numFmtId="2" fontId="2" fillId="0" borderId="0" xfId="0" applyNumberFormat="1" applyFont="1" applyAlignment="1">
      <alignment horizontal="right"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zoomScaleNormal="100" workbookViewId="0">
      <selection activeCell="C11" sqref="C11"/>
    </sheetView>
  </sheetViews>
  <sheetFormatPr baseColWidth="10" defaultColWidth="11.5" defaultRowHeight="13" x14ac:dyDescent="0.15"/>
  <cols>
    <col min="1" max="1" width="18.33203125" customWidth="1"/>
  </cols>
  <sheetData>
    <row r="1" spans="1:4" x14ac:dyDescent="0.1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15">
      <c r="A2" t="str">
        <f t="shared" ref="A2:A11" si="0">_xlfn.CONCAT(B2,"_",D2)</f>
        <v>Aquathermal_Enspijk</v>
      </c>
      <c r="B2" t="s">
        <v>33</v>
      </c>
      <c r="C2">
        <v>104000</v>
      </c>
      <c r="D2" t="s">
        <v>5</v>
      </c>
    </row>
    <row r="3" spans="1:4" x14ac:dyDescent="0.15">
      <c r="A3" t="str">
        <f t="shared" si="0"/>
        <v>Geothermal_Enspijk</v>
      </c>
      <c r="B3" t="s">
        <v>34</v>
      </c>
      <c r="C3">
        <v>107000</v>
      </c>
      <c r="D3" t="s">
        <v>5</v>
      </c>
    </row>
    <row r="4" spans="1:4" x14ac:dyDescent="0.15">
      <c r="A4" t="str">
        <f t="shared" si="0"/>
        <v>Air-Water Ind._Enspijk</v>
      </c>
      <c r="B4" t="s">
        <v>35</v>
      </c>
      <c r="C4">
        <v>98000</v>
      </c>
      <c r="D4" t="s">
        <v>5</v>
      </c>
    </row>
    <row r="5" spans="1:4" x14ac:dyDescent="0.15">
      <c r="A5" t="str">
        <f t="shared" si="0"/>
        <v>Air-Water Col._Enspijk</v>
      </c>
      <c r="B5" t="s">
        <v>36</v>
      </c>
      <c r="C5">
        <v>97000</v>
      </c>
      <c r="D5" t="s">
        <v>5</v>
      </c>
    </row>
    <row r="6" spans="1:4" x14ac:dyDescent="0.15">
      <c r="A6" t="str">
        <f t="shared" si="0"/>
        <v>Gas_Enspijk</v>
      </c>
      <c r="B6" t="s">
        <v>37</v>
      </c>
      <c r="C6">
        <v>79000</v>
      </c>
      <c r="D6" t="s">
        <v>5</v>
      </c>
    </row>
    <row r="7" spans="1:4" x14ac:dyDescent="0.15">
      <c r="A7" t="str">
        <f t="shared" si="0"/>
        <v>Aquathermal_Hilversum</v>
      </c>
      <c r="B7" t="s">
        <v>33</v>
      </c>
      <c r="C7">
        <v>100000</v>
      </c>
      <c r="D7" t="s">
        <v>8</v>
      </c>
    </row>
    <row r="8" spans="1:4" x14ac:dyDescent="0.15">
      <c r="A8" t="str">
        <f t="shared" si="0"/>
        <v>Geothermal_Hilversum</v>
      </c>
      <c r="B8" t="s">
        <v>34</v>
      </c>
      <c r="C8">
        <v>156000</v>
      </c>
      <c r="D8" t="s">
        <v>8</v>
      </c>
    </row>
    <row r="9" spans="1:4" x14ac:dyDescent="0.15">
      <c r="A9" t="str">
        <f t="shared" si="0"/>
        <v>Gas_Hilversum</v>
      </c>
      <c r="B9" t="s">
        <v>37</v>
      </c>
      <c r="C9">
        <v>79000</v>
      </c>
      <c r="D9" t="s">
        <v>8</v>
      </c>
    </row>
    <row r="10" spans="1:4" x14ac:dyDescent="0.15">
      <c r="A10" t="str">
        <f t="shared" si="0"/>
        <v>Air-Water Ind._Hilversum</v>
      </c>
      <c r="B10" t="s">
        <v>35</v>
      </c>
      <c r="C10">
        <v>78098</v>
      </c>
      <c r="D10" t="s">
        <v>8</v>
      </c>
    </row>
    <row r="11" spans="1:4" x14ac:dyDescent="0.15">
      <c r="A11" t="str">
        <f t="shared" si="0"/>
        <v>Air-Water Col._Hilversum</v>
      </c>
      <c r="B11" t="s">
        <v>36</v>
      </c>
      <c r="C11">
        <v>83000</v>
      </c>
      <c r="D11" t="s">
        <v>8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1"/>
  <sheetViews>
    <sheetView tabSelected="1" topLeftCell="A85" zoomScaleNormal="100" workbookViewId="0">
      <selection activeCell="C102" sqref="C102"/>
    </sheetView>
  </sheetViews>
  <sheetFormatPr baseColWidth="10" defaultColWidth="11.5" defaultRowHeight="13" x14ac:dyDescent="0.15"/>
  <cols>
    <col min="1" max="3" width="40.83203125" customWidth="1"/>
    <col min="4" max="4" width="11.6640625" style="5" bestFit="1" customWidth="1"/>
  </cols>
  <sheetData>
    <row r="1" spans="1:4" x14ac:dyDescent="0.15">
      <c r="A1" s="1" t="s">
        <v>1</v>
      </c>
      <c r="B1" s="1" t="s">
        <v>9</v>
      </c>
      <c r="C1" s="1" t="s">
        <v>40</v>
      </c>
      <c r="D1" s="3" t="s">
        <v>10</v>
      </c>
    </row>
    <row r="2" spans="1:4" x14ac:dyDescent="0.15">
      <c r="A2" t="s">
        <v>4</v>
      </c>
      <c r="B2" t="s">
        <v>11</v>
      </c>
      <c r="C2" t="s">
        <v>41</v>
      </c>
      <c r="D2" s="4">
        <v>26250</v>
      </c>
    </row>
    <row r="3" spans="1:4" x14ac:dyDescent="0.15">
      <c r="A3" t="s">
        <v>4</v>
      </c>
      <c r="B3" t="s">
        <v>12</v>
      </c>
      <c r="C3" t="s">
        <v>41</v>
      </c>
      <c r="D3" s="4">
        <v>12750</v>
      </c>
    </row>
    <row r="4" spans="1:4" x14ac:dyDescent="0.15">
      <c r="A4" t="s">
        <v>4</v>
      </c>
      <c r="B4" t="s">
        <v>13</v>
      </c>
      <c r="C4" t="s">
        <v>41</v>
      </c>
      <c r="D4" s="4">
        <v>3750</v>
      </c>
    </row>
    <row r="5" spans="1:4" x14ac:dyDescent="0.15">
      <c r="A5" t="s">
        <v>4</v>
      </c>
      <c r="B5" t="s">
        <v>14</v>
      </c>
      <c r="C5" t="s">
        <v>41</v>
      </c>
      <c r="D5" s="4">
        <v>393925</v>
      </c>
    </row>
    <row r="6" spans="1:4" x14ac:dyDescent="0.15">
      <c r="A6" t="s">
        <v>4</v>
      </c>
      <c r="B6" t="s">
        <v>15</v>
      </c>
      <c r="C6" t="s">
        <v>41</v>
      </c>
      <c r="D6" s="4">
        <v>25000</v>
      </c>
    </row>
    <row r="7" spans="1:4" x14ac:dyDescent="0.15">
      <c r="A7" t="s">
        <v>4</v>
      </c>
      <c r="B7" t="s">
        <v>16</v>
      </c>
      <c r="C7" t="s">
        <v>41</v>
      </c>
      <c r="D7" s="4">
        <v>440000</v>
      </c>
    </row>
    <row r="8" spans="1:4" x14ac:dyDescent="0.15">
      <c r="A8" t="s">
        <v>4</v>
      </c>
      <c r="B8" t="s">
        <v>17</v>
      </c>
      <c r="C8" t="s">
        <v>41</v>
      </c>
      <c r="D8" s="4">
        <v>270502.5</v>
      </c>
    </row>
    <row r="9" spans="1:4" x14ac:dyDescent="0.15">
      <c r="A9" t="s">
        <v>4</v>
      </c>
      <c r="B9" t="s">
        <v>18</v>
      </c>
      <c r="C9" t="s">
        <v>42</v>
      </c>
      <c r="D9" s="4">
        <v>286405.71999999997</v>
      </c>
    </row>
    <row r="10" spans="1:4" x14ac:dyDescent="0.15">
      <c r="A10" t="s">
        <v>4</v>
      </c>
      <c r="B10" t="s">
        <v>19</v>
      </c>
      <c r="C10" t="s">
        <v>42</v>
      </c>
      <c r="D10" s="4">
        <v>192865.8</v>
      </c>
    </row>
    <row r="11" spans="1:4" x14ac:dyDescent="0.15">
      <c r="A11" t="s">
        <v>4</v>
      </c>
      <c r="B11" t="s">
        <v>20</v>
      </c>
      <c r="C11" t="s">
        <v>42</v>
      </c>
      <c r="D11" s="4">
        <v>179520</v>
      </c>
    </row>
    <row r="12" spans="1:4" x14ac:dyDescent="0.15">
      <c r="A12" t="s">
        <v>4</v>
      </c>
      <c r="B12" t="s">
        <v>21</v>
      </c>
      <c r="C12" t="s">
        <v>42</v>
      </c>
      <c r="D12" s="4">
        <v>146916</v>
      </c>
    </row>
    <row r="13" spans="1:4" x14ac:dyDescent="0.15">
      <c r="A13" t="s">
        <v>4</v>
      </c>
      <c r="B13" t="s">
        <v>22</v>
      </c>
      <c r="C13" t="s">
        <v>42</v>
      </c>
      <c r="D13" s="4">
        <v>71865.63</v>
      </c>
    </row>
    <row r="14" spans="1:4" x14ac:dyDescent="0.15">
      <c r="A14" t="s">
        <v>4</v>
      </c>
      <c r="B14" t="s">
        <v>23</v>
      </c>
      <c r="C14" t="s">
        <v>42</v>
      </c>
      <c r="D14" s="4">
        <v>42373.599999999999</v>
      </c>
    </row>
    <row r="15" spans="1:4" x14ac:dyDescent="0.15">
      <c r="A15" t="s">
        <v>4</v>
      </c>
      <c r="B15" t="s">
        <v>24</v>
      </c>
      <c r="C15" t="s">
        <v>42</v>
      </c>
      <c r="D15" s="4">
        <v>23320</v>
      </c>
    </row>
    <row r="16" spans="1:4" x14ac:dyDescent="0.15">
      <c r="A16" t="s">
        <v>4</v>
      </c>
      <c r="B16" t="s">
        <v>25</v>
      </c>
      <c r="C16" t="s">
        <v>42</v>
      </c>
      <c r="D16" s="4">
        <v>58300</v>
      </c>
    </row>
    <row r="17" spans="1:5" x14ac:dyDescent="0.15">
      <c r="A17" t="s">
        <v>4</v>
      </c>
      <c r="B17" t="s">
        <v>26</v>
      </c>
      <c r="C17" t="s">
        <v>42</v>
      </c>
      <c r="D17" s="4">
        <v>58300</v>
      </c>
    </row>
    <row r="18" spans="1:5" x14ac:dyDescent="0.15">
      <c r="A18" t="s">
        <v>4</v>
      </c>
      <c r="B18" t="s">
        <v>27</v>
      </c>
      <c r="C18" t="s">
        <v>42</v>
      </c>
      <c r="D18" s="4">
        <v>116600</v>
      </c>
    </row>
    <row r="19" spans="1:5" x14ac:dyDescent="0.15">
      <c r="A19" t="s">
        <v>4</v>
      </c>
      <c r="B19" t="s">
        <v>28</v>
      </c>
      <c r="C19" t="s">
        <v>42</v>
      </c>
      <c r="D19" s="4">
        <v>176470.01</v>
      </c>
    </row>
    <row r="20" spans="1:5" x14ac:dyDescent="0.15">
      <c r="A20" t="s">
        <v>4</v>
      </c>
      <c r="B20" t="s">
        <v>29</v>
      </c>
      <c r="C20" t="s">
        <v>42</v>
      </c>
      <c r="D20" s="4">
        <v>247500</v>
      </c>
    </row>
    <row r="21" spans="1:5" x14ac:dyDescent="0.15">
      <c r="A21" t="s">
        <v>4</v>
      </c>
      <c r="B21" t="s">
        <v>30</v>
      </c>
      <c r="C21" t="s">
        <v>42</v>
      </c>
      <c r="D21" s="4">
        <v>157500</v>
      </c>
    </row>
    <row r="22" spans="1:5" x14ac:dyDescent="0.15">
      <c r="A22" t="s">
        <v>4</v>
      </c>
      <c r="B22" t="s">
        <v>31</v>
      </c>
      <c r="C22" t="s">
        <v>42</v>
      </c>
      <c r="D22" s="4">
        <v>527381.03</v>
      </c>
    </row>
    <row r="23" spans="1:5" x14ac:dyDescent="0.15">
      <c r="A23" t="s">
        <v>4</v>
      </c>
      <c r="B23" t="s">
        <v>32</v>
      </c>
      <c r="C23" t="s">
        <v>43</v>
      </c>
      <c r="D23" s="4">
        <v>10707176.49</v>
      </c>
    </row>
    <row r="24" spans="1:5" x14ac:dyDescent="0.15">
      <c r="A24" t="s">
        <v>6</v>
      </c>
      <c r="B24" t="s">
        <v>11</v>
      </c>
      <c r="C24" t="s">
        <v>41</v>
      </c>
      <c r="D24" s="4">
        <v>36250</v>
      </c>
      <c r="E24" s="2"/>
    </row>
    <row r="25" spans="1:5" x14ac:dyDescent="0.15">
      <c r="A25" t="s">
        <v>6</v>
      </c>
      <c r="B25" t="s">
        <v>12</v>
      </c>
      <c r="C25" t="s">
        <v>41</v>
      </c>
      <c r="D25" s="4">
        <v>22750</v>
      </c>
      <c r="E25" s="2"/>
    </row>
    <row r="26" spans="1:5" x14ac:dyDescent="0.15">
      <c r="A26" t="s">
        <v>6</v>
      </c>
      <c r="B26" t="s">
        <v>13</v>
      </c>
      <c r="C26" t="s">
        <v>41</v>
      </c>
      <c r="D26" s="4">
        <v>13750</v>
      </c>
      <c r="E26" s="2"/>
    </row>
    <row r="27" spans="1:5" x14ac:dyDescent="0.15">
      <c r="A27" t="s">
        <v>6</v>
      </c>
      <c r="B27" t="s">
        <v>14</v>
      </c>
      <c r="C27" t="s">
        <v>41</v>
      </c>
      <c r="D27" s="4">
        <v>403925</v>
      </c>
      <c r="E27" s="2"/>
    </row>
    <row r="28" spans="1:5" x14ac:dyDescent="0.15">
      <c r="A28" t="s">
        <v>6</v>
      </c>
      <c r="B28" t="s">
        <v>15</v>
      </c>
      <c r="C28" t="s">
        <v>41</v>
      </c>
      <c r="D28" s="4">
        <v>35000</v>
      </c>
      <c r="E28" s="2"/>
    </row>
    <row r="29" spans="1:5" x14ac:dyDescent="0.15">
      <c r="A29" t="s">
        <v>6</v>
      </c>
      <c r="B29" t="s">
        <v>16</v>
      </c>
      <c r="C29" t="s">
        <v>41</v>
      </c>
      <c r="D29" s="4">
        <v>450000</v>
      </c>
      <c r="E29" s="2"/>
    </row>
    <row r="30" spans="1:5" x14ac:dyDescent="0.15">
      <c r="A30" t="s">
        <v>6</v>
      </c>
      <c r="B30" t="s">
        <v>17</v>
      </c>
      <c r="C30" t="s">
        <v>41</v>
      </c>
      <c r="D30" s="4">
        <v>280502.5</v>
      </c>
      <c r="E30" s="2"/>
    </row>
    <row r="31" spans="1:5" x14ac:dyDescent="0.15">
      <c r="A31" t="s">
        <v>6</v>
      </c>
      <c r="B31" t="s">
        <v>18</v>
      </c>
      <c r="C31" t="s">
        <v>42</v>
      </c>
      <c r="D31" s="4">
        <v>296405.71999999997</v>
      </c>
      <c r="E31" s="2"/>
    </row>
    <row r="32" spans="1:5" x14ac:dyDescent="0.15">
      <c r="A32" t="s">
        <v>6</v>
      </c>
      <c r="B32" t="s">
        <v>19</v>
      </c>
      <c r="C32" t="s">
        <v>42</v>
      </c>
      <c r="D32" s="4">
        <v>202865.8</v>
      </c>
      <c r="E32" s="2"/>
    </row>
    <row r="33" spans="1:5" x14ac:dyDescent="0.15">
      <c r="A33" t="s">
        <v>6</v>
      </c>
      <c r="B33" t="s">
        <v>20</v>
      </c>
      <c r="C33" t="s">
        <v>42</v>
      </c>
      <c r="D33" s="4">
        <v>189520</v>
      </c>
      <c r="E33" s="2"/>
    </row>
    <row r="34" spans="1:5" x14ac:dyDescent="0.15">
      <c r="A34" t="s">
        <v>6</v>
      </c>
      <c r="B34" t="s">
        <v>21</v>
      </c>
      <c r="C34" t="s">
        <v>42</v>
      </c>
      <c r="D34" s="4">
        <v>156916</v>
      </c>
      <c r="E34" s="2"/>
    </row>
    <row r="35" spans="1:5" x14ac:dyDescent="0.15">
      <c r="A35" t="s">
        <v>6</v>
      </c>
      <c r="B35" t="s">
        <v>22</v>
      </c>
      <c r="C35" t="s">
        <v>42</v>
      </c>
      <c r="D35" s="4">
        <v>81865.63</v>
      </c>
      <c r="E35" s="2"/>
    </row>
    <row r="36" spans="1:5" x14ac:dyDescent="0.15">
      <c r="A36" t="s">
        <v>6</v>
      </c>
      <c r="B36" t="s">
        <v>23</v>
      </c>
      <c r="C36" t="s">
        <v>42</v>
      </c>
      <c r="D36" s="4">
        <v>52373.599999999999</v>
      </c>
      <c r="E36" s="2"/>
    </row>
    <row r="37" spans="1:5" x14ac:dyDescent="0.15">
      <c r="A37" t="s">
        <v>6</v>
      </c>
      <c r="B37" t="s">
        <v>24</v>
      </c>
      <c r="C37" t="s">
        <v>42</v>
      </c>
      <c r="D37" s="4">
        <v>33320</v>
      </c>
      <c r="E37" s="2"/>
    </row>
    <row r="38" spans="1:5" x14ac:dyDescent="0.15">
      <c r="A38" t="s">
        <v>6</v>
      </c>
      <c r="B38" t="s">
        <v>25</v>
      </c>
      <c r="C38" t="s">
        <v>42</v>
      </c>
      <c r="D38" s="4">
        <v>68300</v>
      </c>
      <c r="E38" s="2"/>
    </row>
    <row r="39" spans="1:5" x14ac:dyDescent="0.15">
      <c r="A39" t="s">
        <v>6</v>
      </c>
      <c r="B39" t="s">
        <v>26</v>
      </c>
      <c r="C39" t="s">
        <v>42</v>
      </c>
      <c r="D39" s="4">
        <v>68300</v>
      </c>
      <c r="E39" s="2"/>
    </row>
    <row r="40" spans="1:5" x14ac:dyDescent="0.15">
      <c r="A40" t="s">
        <v>6</v>
      </c>
      <c r="B40" t="s">
        <v>27</v>
      </c>
      <c r="C40" t="s">
        <v>42</v>
      </c>
      <c r="D40" s="4">
        <v>126600</v>
      </c>
      <c r="E40" s="2"/>
    </row>
    <row r="41" spans="1:5" x14ac:dyDescent="0.15">
      <c r="A41" t="s">
        <v>6</v>
      </c>
      <c r="B41" t="s">
        <v>28</v>
      </c>
      <c r="C41" t="s">
        <v>42</v>
      </c>
      <c r="D41" s="4">
        <v>186470.01</v>
      </c>
      <c r="E41" s="2"/>
    </row>
    <row r="42" spans="1:5" x14ac:dyDescent="0.15">
      <c r="A42" t="s">
        <v>6</v>
      </c>
      <c r="B42" t="s">
        <v>29</v>
      </c>
      <c r="C42" t="s">
        <v>42</v>
      </c>
      <c r="D42" s="4">
        <v>257500</v>
      </c>
      <c r="E42" s="2"/>
    </row>
    <row r="43" spans="1:5" x14ac:dyDescent="0.15">
      <c r="A43" t="s">
        <v>6</v>
      </c>
      <c r="B43" t="s">
        <v>30</v>
      </c>
      <c r="C43" t="s">
        <v>42</v>
      </c>
      <c r="D43" s="4">
        <v>167500</v>
      </c>
      <c r="E43" s="2"/>
    </row>
    <row r="44" spans="1:5" x14ac:dyDescent="0.15">
      <c r="A44" t="s">
        <v>6</v>
      </c>
      <c r="B44" t="s">
        <v>31</v>
      </c>
      <c r="C44" t="s">
        <v>42</v>
      </c>
      <c r="D44" s="4">
        <v>537381.03</v>
      </c>
      <c r="E44" s="2"/>
    </row>
    <row r="45" spans="1:5" x14ac:dyDescent="0.15">
      <c r="A45" t="s">
        <v>6</v>
      </c>
      <c r="B45" t="s">
        <v>32</v>
      </c>
      <c r="C45" t="s">
        <v>43</v>
      </c>
      <c r="D45" s="4">
        <v>10717176.49</v>
      </c>
      <c r="E45" s="2"/>
    </row>
    <row r="46" spans="1:5" x14ac:dyDescent="0.15">
      <c r="A46" t="s">
        <v>38</v>
      </c>
      <c r="B46" t="s">
        <v>11</v>
      </c>
      <c r="C46" t="s">
        <v>41</v>
      </c>
      <c r="D46" s="5">
        <v>66250</v>
      </c>
    </row>
    <row r="47" spans="1:5" x14ac:dyDescent="0.15">
      <c r="A47" t="s">
        <v>38</v>
      </c>
      <c r="B47" t="s">
        <v>12</v>
      </c>
      <c r="C47" t="s">
        <v>41</v>
      </c>
      <c r="D47" s="5">
        <v>52750</v>
      </c>
    </row>
    <row r="48" spans="1:5" x14ac:dyDescent="0.15">
      <c r="A48" t="s">
        <v>38</v>
      </c>
      <c r="B48" t="s">
        <v>13</v>
      </c>
      <c r="C48" t="s">
        <v>41</v>
      </c>
      <c r="D48" s="5">
        <v>43750</v>
      </c>
    </row>
    <row r="49" spans="1:4" x14ac:dyDescent="0.15">
      <c r="A49" t="s">
        <v>38</v>
      </c>
      <c r="B49" t="s">
        <v>14</v>
      </c>
      <c r="C49" t="s">
        <v>41</v>
      </c>
      <c r="D49" s="5">
        <v>433925</v>
      </c>
    </row>
    <row r="50" spans="1:4" x14ac:dyDescent="0.15">
      <c r="A50" t="s">
        <v>38</v>
      </c>
      <c r="B50" t="s">
        <v>15</v>
      </c>
      <c r="C50" t="s">
        <v>41</v>
      </c>
      <c r="D50" s="5">
        <v>65000</v>
      </c>
    </row>
    <row r="51" spans="1:4" x14ac:dyDescent="0.15">
      <c r="A51" t="s">
        <v>38</v>
      </c>
      <c r="B51" t="s">
        <v>16</v>
      </c>
      <c r="C51" t="s">
        <v>41</v>
      </c>
      <c r="D51" s="5">
        <v>480000</v>
      </c>
    </row>
    <row r="52" spans="1:4" x14ac:dyDescent="0.15">
      <c r="A52" t="s">
        <v>38</v>
      </c>
      <c r="B52" t="s">
        <v>17</v>
      </c>
      <c r="C52" t="s">
        <v>41</v>
      </c>
      <c r="D52" s="5">
        <v>310502.5</v>
      </c>
    </row>
    <row r="53" spans="1:4" x14ac:dyDescent="0.15">
      <c r="A53" t="s">
        <v>38</v>
      </c>
      <c r="B53" t="s">
        <v>18</v>
      </c>
      <c r="C53" t="s">
        <v>42</v>
      </c>
      <c r="D53" s="5">
        <v>326405.71999999997</v>
      </c>
    </row>
    <row r="54" spans="1:4" x14ac:dyDescent="0.15">
      <c r="A54" t="s">
        <v>38</v>
      </c>
      <c r="B54" t="s">
        <v>19</v>
      </c>
      <c r="C54" t="s">
        <v>42</v>
      </c>
      <c r="D54" s="5">
        <v>232865.8</v>
      </c>
    </row>
    <row r="55" spans="1:4" x14ac:dyDescent="0.15">
      <c r="A55" t="s">
        <v>38</v>
      </c>
      <c r="B55" t="s">
        <v>20</v>
      </c>
      <c r="C55" t="s">
        <v>42</v>
      </c>
      <c r="D55" s="5">
        <v>219520</v>
      </c>
    </row>
    <row r="56" spans="1:4" x14ac:dyDescent="0.15">
      <c r="A56" t="s">
        <v>38</v>
      </c>
      <c r="B56" t="s">
        <v>21</v>
      </c>
      <c r="C56" t="s">
        <v>42</v>
      </c>
      <c r="D56" s="5">
        <v>186916</v>
      </c>
    </row>
    <row r="57" spans="1:4" x14ac:dyDescent="0.15">
      <c r="A57" t="s">
        <v>38</v>
      </c>
      <c r="B57" t="s">
        <v>22</v>
      </c>
      <c r="C57" t="s">
        <v>42</v>
      </c>
      <c r="D57" s="5">
        <v>111865.63</v>
      </c>
    </row>
    <row r="58" spans="1:4" x14ac:dyDescent="0.15">
      <c r="A58" t="s">
        <v>38</v>
      </c>
      <c r="B58" t="s">
        <v>23</v>
      </c>
      <c r="C58" t="s">
        <v>42</v>
      </c>
      <c r="D58" s="5">
        <v>82373.600000000006</v>
      </c>
    </row>
    <row r="59" spans="1:4" x14ac:dyDescent="0.15">
      <c r="A59" t="s">
        <v>38</v>
      </c>
      <c r="B59" t="s">
        <v>24</v>
      </c>
      <c r="C59" t="s">
        <v>42</v>
      </c>
      <c r="D59" s="5">
        <v>63320</v>
      </c>
    </row>
    <row r="60" spans="1:4" x14ac:dyDescent="0.15">
      <c r="A60" t="s">
        <v>38</v>
      </c>
      <c r="B60" t="s">
        <v>25</v>
      </c>
      <c r="C60" t="s">
        <v>42</v>
      </c>
      <c r="D60" s="5">
        <v>98300</v>
      </c>
    </row>
    <row r="61" spans="1:4" x14ac:dyDescent="0.15">
      <c r="A61" t="s">
        <v>38</v>
      </c>
      <c r="B61" t="s">
        <v>26</v>
      </c>
      <c r="C61" t="s">
        <v>42</v>
      </c>
      <c r="D61" s="5">
        <v>98300</v>
      </c>
    </row>
    <row r="62" spans="1:4" x14ac:dyDescent="0.15">
      <c r="A62" t="s">
        <v>38</v>
      </c>
      <c r="B62" t="s">
        <v>27</v>
      </c>
      <c r="C62" t="s">
        <v>42</v>
      </c>
      <c r="D62" s="5">
        <v>156600</v>
      </c>
    </row>
    <row r="63" spans="1:4" x14ac:dyDescent="0.15">
      <c r="A63" t="s">
        <v>38</v>
      </c>
      <c r="B63" t="s">
        <v>28</v>
      </c>
      <c r="C63" t="s">
        <v>42</v>
      </c>
      <c r="D63" s="5">
        <v>216470.01</v>
      </c>
    </row>
    <row r="64" spans="1:4" x14ac:dyDescent="0.15">
      <c r="A64" t="s">
        <v>38</v>
      </c>
      <c r="B64" t="s">
        <v>29</v>
      </c>
      <c r="C64" t="s">
        <v>42</v>
      </c>
      <c r="D64" s="5">
        <v>287500</v>
      </c>
    </row>
    <row r="65" spans="1:4" x14ac:dyDescent="0.15">
      <c r="A65" t="s">
        <v>38</v>
      </c>
      <c r="B65" t="s">
        <v>30</v>
      </c>
      <c r="C65" t="s">
        <v>42</v>
      </c>
      <c r="D65" s="5">
        <v>197500</v>
      </c>
    </row>
    <row r="66" spans="1:4" x14ac:dyDescent="0.15">
      <c r="A66" t="s">
        <v>38</v>
      </c>
      <c r="B66" t="s">
        <v>31</v>
      </c>
      <c r="C66" t="s">
        <v>42</v>
      </c>
      <c r="D66" s="5">
        <v>567381.03</v>
      </c>
    </row>
    <row r="67" spans="1:4" x14ac:dyDescent="0.15">
      <c r="A67" t="s">
        <v>38</v>
      </c>
      <c r="B67" t="s">
        <v>32</v>
      </c>
      <c r="C67" t="s">
        <v>43</v>
      </c>
      <c r="D67" s="5">
        <v>10747176.49</v>
      </c>
    </row>
    <row r="68" spans="1:4" x14ac:dyDescent="0.15">
      <c r="A68" t="s">
        <v>39</v>
      </c>
      <c r="B68" t="s">
        <v>11</v>
      </c>
      <c r="C68" t="s">
        <v>41</v>
      </c>
      <c r="D68" s="5">
        <v>66250</v>
      </c>
    </row>
    <row r="69" spans="1:4" x14ac:dyDescent="0.15">
      <c r="A69" t="s">
        <v>39</v>
      </c>
      <c r="B69" t="s">
        <v>12</v>
      </c>
      <c r="C69" t="s">
        <v>41</v>
      </c>
      <c r="D69" s="5">
        <v>52750</v>
      </c>
    </row>
    <row r="70" spans="1:4" x14ac:dyDescent="0.15">
      <c r="A70" t="s">
        <v>39</v>
      </c>
      <c r="B70" t="s">
        <v>13</v>
      </c>
      <c r="C70" t="s">
        <v>41</v>
      </c>
      <c r="D70" s="5">
        <v>43750</v>
      </c>
    </row>
    <row r="71" spans="1:4" x14ac:dyDescent="0.15">
      <c r="A71" t="s">
        <v>39</v>
      </c>
      <c r="B71" t="s">
        <v>14</v>
      </c>
      <c r="C71" t="s">
        <v>41</v>
      </c>
      <c r="D71" s="5">
        <v>433925</v>
      </c>
    </row>
    <row r="72" spans="1:4" x14ac:dyDescent="0.15">
      <c r="A72" t="s">
        <v>39</v>
      </c>
      <c r="B72" t="s">
        <v>15</v>
      </c>
      <c r="C72" t="s">
        <v>41</v>
      </c>
      <c r="D72" s="5">
        <v>65000</v>
      </c>
    </row>
    <row r="73" spans="1:4" x14ac:dyDescent="0.15">
      <c r="A73" t="s">
        <v>39</v>
      </c>
      <c r="B73" t="s">
        <v>16</v>
      </c>
      <c r="C73" t="s">
        <v>41</v>
      </c>
      <c r="D73" s="5">
        <v>480000</v>
      </c>
    </row>
    <row r="74" spans="1:4" x14ac:dyDescent="0.15">
      <c r="A74" t="s">
        <v>39</v>
      </c>
      <c r="B74" t="s">
        <v>17</v>
      </c>
      <c r="C74" t="s">
        <v>41</v>
      </c>
      <c r="D74" s="5">
        <v>310502.5</v>
      </c>
    </row>
    <row r="75" spans="1:4" x14ac:dyDescent="0.15">
      <c r="A75" t="s">
        <v>39</v>
      </c>
      <c r="B75" t="s">
        <v>18</v>
      </c>
      <c r="C75" t="s">
        <v>42</v>
      </c>
      <c r="D75" s="5">
        <v>326405.71999999997</v>
      </c>
    </row>
    <row r="76" spans="1:4" x14ac:dyDescent="0.15">
      <c r="A76" t="s">
        <v>39</v>
      </c>
      <c r="B76" t="s">
        <v>19</v>
      </c>
      <c r="C76" t="s">
        <v>42</v>
      </c>
      <c r="D76" s="5">
        <v>232865.8</v>
      </c>
    </row>
    <row r="77" spans="1:4" x14ac:dyDescent="0.15">
      <c r="A77" t="s">
        <v>39</v>
      </c>
      <c r="B77" t="s">
        <v>20</v>
      </c>
      <c r="C77" t="s">
        <v>42</v>
      </c>
      <c r="D77" s="5">
        <v>219520</v>
      </c>
    </row>
    <row r="78" spans="1:4" x14ac:dyDescent="0.15">
      <c r="A78" t="s">
        <v>39</v>
      </c>
      <c r="B78" t="s">
        <v>21</v>
      </c>
      <c r="C78" t="s">
        <v>42</v>
      </c>
      <c r="D78" s="5">
        <v>186916</v>
      </c>
    </row>
    <row r="79" spans="1:4" x14ac:dyDescent="0.15">
      <c r="A79" t="s">
        <v>39</v>
      </c>
      <c r="B79" t="s">
        <v>22</v>
      </c>
      <c r="C79" t="s">
        <v>42</v>
      </c>
      <c r="D79" s="5">
        <v>111865.63</v>
      </c>
    </row>
    <row r="80" spans="1:4" x14ac:dyDescent="0.15">
      <c r="A80" t="s">
        <v>39</v>
      </c>
      <c r="B80" t="s">
        <v>23</v>
      </c>
      <c r="C80" t="s">
        <v>42</v>
      </c>
      <c r="D80" s="5">
        <v>82373.600000000006</v>
      </c>
    </row>
    <row r="81" spans="1:4" x14ac:dyDescent="0.15">
      <c r="A81" t="s">
        <v>39</v>
      </c>
      <c r="B81" t="s">
        <v>24</v>
      </c>
      <c r="C81" t="s">
        <v>42</v>
      </c>
      <c r="D81" s="5">
        <v>63320</v>
      </c>
    </row>
    <row r="82" spans="1:4" x14ac:dyDescent="0.15">
      <c r="A82" t="s">
        <v>39</v>
      </c>
      <c r="B82" t="s">
        <v>25</v>
      </c>
      <c r="C82" t="s">
        <v>42</v>
      </c>
      <c r="D82" s="5">
        <v>98300</v>
      </c>
    </row>
    <row r="83" spans="1:4" x14ac:dyDescent="0.15">
      <c r="A83" t="s">
        <v>39</v>
      </c>
      <c r="B83" t="s">
        <v>26</v>
      </c>
      <c r="C83" t="s">
        <v>42</v>
      </c>
      <c r="D83" s="5">
        <v>98300</v>
      </c>
    </row>
    <row r="84" spans="1:4" x14ac:dyDescent="0.15">
      <c r="A84" t="s">
        <v>39</v>
      </c>
      <c r="B84" t="s">
        <v>27</v>
      </c>
      <c r="C84" t="s">
        <v>42</v>
      </c>
      <c r="D84" s="5">
        <v>156600</v>
      </c>
    </row>
    <row r="85" spans="1:4" x14ac:dyDescent="0.15">
      <c r="A85" t="s">
        <v>39</v>
      </c>
      <c r="B85" t="s">
        <v>28</v>
      </c>
      <c r="C85" t="s">
        <v>42</v>
      </c>
      <c r="D85" s="5">
        <v>216470.01</v>
      </c>
    </row>
    <row r="86" spans="1:4" x14ac:dyDescent="0.15">
      <c r="A86" t="s">
        <v>39</v>
      </c>
      <c r="B86" t="s">
        <v>29</v>
      </c>
      <c r="C86" t="s">
        <v>42</v>
      </c>
      <c r="D86" s="5">
        <v>287500</v>
      </c>
    </row>
    <row r="87" spans="1:4" x14ac:dyDescent="0.15">
      <c r="A87" t="s">
        <v>39</v>
      </c>
      <c r="B87" t="s">
        <v>30</v>
      </c>
      <c r="C87" t="s">
        <v>42</v>
      </c>
      <c r="D87" s="5">
        <v>197500</v>
      </c>
    </row>
    <row r="88" spans="1:4" x14ac:dyDescent="0.15">
      <c r="A88" t="s">
        <v>39</v>
      </c>
      <c r="B88" t="s">
        <v>31</v>
      </c>
      <c r="C88" t="s">
        <v>42</v>
      </c>
      <c r="D88" s="5">
        <v>567381.03</v>
      </c>
    </row>
    <row r="89" spans="1:4" x14ac:dyDescent="0.15">
      <c r="A89" t="s">
        <v>39</v>
      </c>
      <c r="B89" t="s">
        <v>32</v>
      </c>
      <c r="C89" t="s">
        <v>43</v>
      </c>
      <c r="D89" s="5">
        <v>10747176.49</v>
      </c>
    </row>
    <row r="90" spans="1:4" x14ac:dyDescent="0.15">
      <c r="A90" t="s">
        <v>7</v>
      </c>
      <c r="B90" t="s">
        <v>11</v>
      </c>
      <c r="C90" t="s">
        <v>41</v>
      </c>
      <c r="D90" s="5">
        <v>66250</v>
      </c>
    </row>
    <row r="91" spans="1:4" x14ac:dyDescent="0.15">
      <c r="A91" t="s">
        <v>7</v>
      </c>
      <c r="B91" t="s">
        <v>12</v>
      </c>
      <c r="C91" t="s">
        <v>41</v>
      </c>
      <c r="D91" s="5">
        <v>52750</v>
      </c>
    </row>
    <row r="92" spans="1:4" x14ac:dyDescent="0.15">
      <c r="A92" t="s">
        <v>7</v>
      </c>
      <c r="B92" t="s">
        <v>13</v>
      </c>
      <c r="C92" t="s">
        <v>41</v>
      </c>
      <c r="D92" s="5">
        <v>43750</v>
      </c>
    </row>
    <row r="93" spans="1:4" x14ac:dyDescent="0.15">
      <c r="A93" t="s">
        <v>7</v>
      </c>
      <c r="B93" t="s">
        <v>14</v>
      </c>
      <c r="C93" t="s">
        <v>41</v>
      </c>
      <c r="D93" s="5">
        <v>433925</v>
      </c>
    </row>
    <row r="94" spans="1:4" x14ac:dyDescent="0.15">
      <c r="A94" t="s">
        <v>7</v>
      </c>
      <c r="B94" t="s">
        <v>15</v>
      </c>
      <c r="C94" t="s">
        <v>41</v>
      </c>
      <c r="D94" s="5">
        <v>65000</v>
      </c>
    </row>
    <row r="95" spans="1:4" x14ac:dyDescent="0.15">
      <c r="A95" t="s">
        <v>7</v>
      </c>
      <c r="B95" t="s">
        <v>16</v>
      </c>
      <c r="C95" t="s">
        <v>41</v>
      </c>
      <c r="D95" s="5">
        <v>480000</v>
      </c>
    </row>
    <row r="96" spans="1:4" x14ac:dyDescent="0.15">
      <c r="A96" t="s">
        <v>7</v>
      </c>
      <c r="B96" t="s">
        <v>17</v>
      </c>
      <c r="C96" t="s">
        <v>41</v>
      </c>
      <c r="D96" s="5">
        <v>310502.5</v>
      </c>
    </row>
    <row r="97" spans="1:4" x14ac:dyDescent="0.15">
      <c r="A97" t="s">
        <v>7</v>
      </c>
      <c r="B97" t="s">
        <v>18</v>
      </c>
      <c r="C97" t="s">
        <v>42</v>
      </c>
      <c r="D97" s="5">
        <v>326405.71999999997</v>
      </c>
    </row>
    <row r="98" spans="1:4" x14ac:dyDescent="0.15">
      <c r="A98" t="s">
        <v>7</v>
      </c>
      <c r="B98" t="s">
        <v>19</v>
      </c>
      <c r="C98" t="s">
        <v>42</v>
      </c>
      <c r="D98" s="5">
        <v>232865.8</v>
      </c>
    </row>
    <row r="99" spans="1:4" x14ac:dyDescent="0.15">
      <c r="A99" t="s">
        <v>7</v>
      </c>
      <c r="B99" t="s">
        <v>20</v>
      </c>
      <c r="C99" t="s">
        <v>42</v>
      </c>
      <c r="D99" s="5">
        <v>219520</v>
      </c>
    </row>
    <row r="100" spans="1:4" x14ac:dyDescent="0.15">
      <c r="A100" t="s">
        <v>7</v>
      </c>
      <c r="B100" t="s">
        <v>21</v>
      </c>
      <c r="C100" t="s">
        <v>42</v>
      </c>
      <c r="D100" s="5">
        <v>186916</v>
      </c>
    </row>
    <row r="101" spans="1:4" x14ac:dyDescent="0.15">
      <c r="A101" t="s">
        <v>7</v>
      </c>
      <c r="B101" t="s">
        <v>22</v>
      </c>
      <c r="C101" t="s">
        <v>42</v>
      </c>
      <c r="D101" s="5">
        <v>111865.63</v>
      </c>
    </row>
    <row r="102" spans="1:4" x14ac:dyDescent="0.15">
      <c r="A102" t="s">
        <v>7</v>
      </c>
      <c r="B102" t="s">
        <v>23</v>
      </c>
      <c r="C102" t="s">
        <v>42</v>
      </c>
      <c r="D102" s="5">
        <v>82373.600000000006</v>
      </c>
    </row>
    <row r="103" spans="1:4" x14ac:dyDescent="0.15">
      <c r="A103" t="s">
        <v>7</v>
      </c>
      <c r="B103" t="s">
        <v>24</v>
      </c>
      <c r="C103" t="s">
        <v>42</v>
      </c>
      <c r="D103" s="5">
        <v>63320</v>
      </c>
    </row>
    <row r="104" spans="1:4" x14ac:dyDescent="0.15">
      <c r="A104" t="s">
        <v>7</v>
      </c>
      <c r="B104" t="s">
        <v>25</v>
      </c>
      <c r="C104" t="s">
        <v>42</v>
      </c>
      <c r="D104" s="5">
        <v>98300</v>
      </c>
    </row>
    <row r="105" spans="1:4" x14ac:dyDescent="0.15">
      <c r="A105" t="s">
        <v>7</v>
      </c>
      <c r="B105" t="s">
        <v>26</v>
      </c>
      <c r="C105" t="s">
        <v>42</v>
      </c>
      <c r="D105" s="5">
        <v>98300</v>
      </c>
    </row>
    <row r="106" spans="1:4" x14ac:dyDescent="0.15">
      <c r="A106" t="s">
        <v>7</v>
      </c>
      <c r="B106" t="s">
        <v>27</v>
      </c>
      <c r="C106" t="s">
        <v>42</v>
      </c>
      <c r="D106" s="5">
        <v>156600</v>
      </c>
    </row>
    <row r="107" spans="1:4" x14ac:dyDescent="0.15">
      <c r="A107" t="s">
        <v>7</v>
      </c>
      <c r="B107" t="s">
        <v>28</v>
      </c>
      <c r="C107" t="s">
        <v>42</v>
      </c>
      <c r="D107" s="5">
        <v>216470.01</v>
      </c>
    </row>
    <row r="108" spans="1:4" x14ac:dyDescent="0.15">
      <c r="A108" t="s">
        <v>7</v>
      </c>
      <c r="B108" t="s">
        <v>29</v>
      </c>
      <c r="C108" t="s">
        <v>42</v>
      </c>
      <c r="D108" s="5">
        <v>287500</v>
      </c>
    </row>
    <row r="109" spans="1:4" x14ac:dyDescent="0.15">
      <c r="A109" t="s">
        <v>7</v>
      </c>
      <c r="B109" t="s">
        <v>30</v>
      </c>
      <c r="C109" t="s">
        <v>42</v>
      </c>
      <c r="D109" s="5">
        <v>197500</v>
      </c>
    </row>
    <row r="110" spans="1:4" x14ac:dyDescent="0.15">
      <c r="A110" t="s">
        <v>7</v>
      </c>
      <c r="B110" t="s">
        <v>31</v>
      </c>
      <c r="C110" t="s">
        <v>42</v>
      </c>
      <c r="D110" s="5">
        <v>567381.03</v>
      </c>
    </row>
    <row r="111" spans="1:4" x14ac:dyDescent="0.15">
      <c r="A111" t="s">
        <v>7</v>
      </c>
      <c r="B111" t="s">
        <v>32</v>
      </c>
      <c r="C111" t="s">
        <v>43</v>
      </c>
      <c r="D111" s="5">
        <v>10707176.49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toc</vt:lpstr>
      <vt:lpstr>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Kristin Canfield</cp:lastModifiedBy>
  <cp:revision>6</cp:revision>
  <dcterms:created xsi:type="dcterms:W3CDTF">2026-06-07T21:14:55Z</dcterms:created>
  <dcterms:modified xsi:type="dcterms:W3CDTF">2026-06-09T22:07:26Z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