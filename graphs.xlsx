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canfield/Development/uu-consultancy/"/>
    </mc:Choice>
  </mc:AlternateContent>
  <xr:revisionPtr revIDLastSave="0" documentId="13_ncr:1_{56015F42-D0DD-F748-9137-67DC256AAE0F}" xr6:coauthVersionLast="47" xr6:coauthVersionMax="47" xr10:uidLastSave="{00000000-0000-0000-0000-000000000000}"/>
  <bookViews>
    <workbookView xWindow="1480" yWindow="1740" windowWidth="27240" windowHeight="16080" activeTab="3" xr2:uid="{32A3E7A0-C034-E447-905E-A5AE5646D74E}"/>
  </bookViews>
  <sheets>
    <sheet name="tco" sheetId="1" r:id="rId1"/>
    <sheet name="peu" sheetId="3" r:id="rId2"/>
    <sheet name="capex" sheetId="2" r:id="rId3"/>
    <sheet name="sensitivity" sheetId="4" r:id="rId4"/>
    <sheet name="location" sheetId="7" r:id="rId5"/>
    <sheet name="map" sheetId="5" r:id="rId6"/>
    <sheet name="Sheet6" sheetId="6" r:id="rId7"/>
  </sheets>
  <definedNames>
    <definedName name="_xlnm._FilterDatabase" localSheetId="4" hidden="1">location!$A$1:$C$25</definedName>
  </definedNames>
  <calcPr calcId="181029" concurrentManualCount="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1" l="1"/>
  <c r="A25" i="1"/>
  <c r="A20" i="1"/>
  <c r="A15" i="1"/>
  <c r="A10" i="1"/>
  <c r="A12" i="1"/>
  <c r="A13" i="1"/>
  <c r="A14" i="1"/>
  <c r="A16" i="1"/>
  <c r="A17" i="1"/>
  <c r="A18" i="1"/>
  <c r="A19" i="1"/>
  <c r="A21" i="1"/>
  <c r="A22" i="1"/>
  <c r="A23" i="1"/>
  <c r="A24" i="1"/>
  <c r="A26" i="1"/>
  <c r="A27" i="1"/>
  <c r="A28" i="1"/>
  <c r="A29" i="1"/>
  <c r="A31" i="1"/>
  <c r="A11" i="1"/>
  <c r="A9" i="1"/>
  <c r="A8" i="1"/>
  <c r="A7" i="1"/>
  <c r="A4" i="1"/>
  <c r="A6" i="1"/>
  <c r="A5" i="1"/>
  <c r="A2" i="1"/>
  <c r="A3" i="1"/>
</calcChain>
</file>

<file path=xl/sharedStrings.xml><?xml version="1.0" encoding="utf-8"?>
<sst xmlns="http://schemas.openxmlformats.org/spreadsheetml/2006/main" count="737" uniqueCount="57">
  <si>
    <t>configuration</t>
  </si>
  <si>
    <t>value</t>
  </si>
  <si>
    <t>category</t>
  </si>
  <si>
    <t>id</t>
  </si>
  <si>
    <t>location</t>
  </si>
  <si>
    <t>Enspijk</t>
  </si>
  <si>
    <t>Source</t>
  </si>
  <si>
    <t>Heat Plant</t>
  </si>
  <si>
    <t>Distribution</t>
  </si>
  <si>
    <t>Geothermal</t>
  </si>
  <si>
    <t>Aquathermal</t>
  </si>
  <si>
    <t>kWh/house</t>
  </si>
  <si>
    <t>unit</t>
  </si>
  <si>
    <t>tco</t>
  </si>
  <si>
    <t>AWHP Individual</t>
  </si>
  <si>
    <t>AWHP Collective</t>
  </si>
  <si>
    <t>Natural Gas</t>
  </si>
  <si>
    <t>peu</t>
  </si>
  <si>
    <t>parameter</t>
  </si>
  <si>
    <t>min</t>
  </si>
  <si>
    <t>base</t>
  </si>
  <si>
    <t>max</t>
  </si>
  <si>
    <t>Average Gas Price 2025</t>
  </si>
  <si>
    <t>ETS2 2030</t>
  </si>
  <si>
    <t>ETS2 2077</t>
  </si>
  <si>
    <t>Price of collective electricity</t>
  </si>
  <si>
    <t>Price of individual electricity</t>
  </si>
  <si>
    <t>Construction time</t>
  </si>
  <si>
    <t>Interest on Loan</t>
  </si>
  <si>
    <t>Discount Rate</t>
  </si>
  <si>
    <t>Percentage engineering/unforeseen</t>
  </si>
  <si>
    <t>Participation @ Start</t>
  </si>
  <si>
    <t>Participation @ End</t>
  </si>
  <si>
    <t>Size of heat pump</t>
  </si>
  <si>
    <t>Size of buffer vat</t>
  </si>
  <si>
    <t>Heat Production Geothermal Probes</t>
  </si>
  <si>
    <t>DeltaT air source</t>
  </si>
  <si>
    <t>DeltaT geo source</t>
  </si>
  <si>
    <t>DeltaT aqua source</t>
  </si>
  <si>
    <t>Hilversum</t>
  </si>
  <si>
    <t>name</t>
  </si>
  <si>
    <t>Enkhuizen</t>
  </si>
  <si>
    <t>Ramplaaankwartier</t>
  </si>
  <si>
    <t>Houten</t>
  </si>
  <si>
    <t>Den Haag</t>
  </si>
  <si>
    <t>latitude</t>
  </si>
  <si>
    <t>longitude</t>
  </si>
  <si>
    <t>Total distribution length</t>
  </si>
  <si>
    <t>Distance boreholes to HP</t>
  </si>
  <si>
    <t>Percentage asphalt</t>
  </si>
  <si>
    <t>Drogeham</t>
  </si>
  <si>
    <t>Laren-Centrum</t>
  </si>
  <si>
    <t>Elandsgrachtbuurt</t>
  </si>
  <si>
    <t>Norbeek</t>
  </si>
  <si>
    <t>Amount of housing equivalent</t>
  </si>
  <si>
    <t>Distance aquathermal to HP</t>
  </si>
  <si>
    <t>Average heat consumption per house eq.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</si>
</sst>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0"/>
      <name val="Arial"/>
      <family val="2"/>
      <charset val="1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3" fontId="0" fillId="0" borderId="0" xfId="0" applyNumberFormat="1"/>
    <xf numFmtId="2" fontId="0" fillId="0" borderId="0" xfId="0" applyNumberFormat="1" applyFill="1"/>
    <xf numFmtId="2" fontId="2" fillId="0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54B32-49CF-DA45-A7BA-34DDFD70138D}">
  <dimension ref="A1:D31"/>
  <sheetViews>
    <sheetView topLeftCell="A7" workbookViewId="0">
      <selection activeCell="B3" sqref="B3"/>
    </sheetView>
  </sheetViews>
  <sheetFormatPr baseColWidth="10" defaultRowHeight="16" x14ac:dyDescent="0.2"/>
  <cols>
    <col min="1" max="1" width="27.6640625" bestFit="1" customWidth="1"/>
    <col min="2" max="2" width="29.33203125" bestFit="1" customWidth="1"/>
  </cols>
  <sheetData>
    <row r="1" spans="1:4" x14ac:dyDescent="0.2">
      <c r="A1" s="1" t="s">
        <v>3</v>
      </c>
      <c r="B1" s="1" t="s">
        <v>0</v>
      </c>
      <c r="C1" s="1" t="s">
        <v>13</v>
      </c>
      <c r="D1" s="1" t="s">
        <v>4</v>
      </c>
    </row>
    <row r="2" spans="1:4" x14ac:dyDescent="0.2">
      <c r="A2" t="str">
        <f>_xlfn.CONCAT(B2,"_",D2)</f>
        <v>Natural Gas_Enspijk</v>
      </c>
      <c r="B2" t="s">
        <v>16</v>
      </c>
      <c r="C2" s="4">
        <v>128479</v>
      </c>
      <c r="D2" t="s">
        <v>5</v>
      </c>
    </row>
    <row r="3" spans="1:4" x14ac:dyDescent="0.2">
      <c r="A3" t="str">
        <f>_xlfn.CONCAT(B3,"_",D3)</f>
        <v>AWHP Individual_Enspijk</v>
      </c>
      <c r="B3" t="s">
        <v>14</v>
      </c>
      <c r="C3" s="4">
        <v>189447</v>
      </c>
      <c r="D3" t="s">
        <v>5</v>
      </c>
    </row>
    <row r="4" spans="1:4" x14ac:dyDescent="0.2">
      <c r="A4" t="str">
        <f>_xlfn.CONCAT(B4,"_",D4)</f>
        <v>AWHP Collective_Enspijk</v>
      </c>
      <c r="B4" t="s">
        <v>15</v>
      </c>
      <c r="C4" s="4">
        <v>145837</v>
      </c>
      <c r="D4" t="s">
        <v>5</v>
      </c>
    </row>
    <row r="5" spans="1:4" x14ac:dyDescent="0.2">
      <c r="A5" t="str">
        <f>_xlfn.CONCAT(B5,"_",D5)</f>
        <v>Aquathermal_Enspijk</v>
      </c>
      <c r="B5" t="s">
        <v>10</v>
      </c>
      <c r="C5" s="4">
        <v>142463</v>
      </c>
      <c r="D5" t="s">
        <v>5</v>
      </c>
    </row>
    <row r="6" spans="1:4" x14ac:dyDescent="0.2">
      <c r="A6" t="str">
        <f>_xlfn.CONCAT(B6,"_",D6)</f>
        <v>Geothermal_Enspijk</v>
      </c>
      <c r="B6" t="s">
        <v>9</v>
      </c>
      <c r="C6" s="4">
        <v>154319</v>
      </c>
      <c r="D6" t="s">
        <v>5</v>
      </c>
    </row>
    <row r="7" spans="1:4" x14ac:dyDescent="0.2">
      <c r="A7" t="str">
        <f>_xlfn.CONCAT(B7,"_",D7)</f>
        <v>Natural Gas_Hilversum</v>
      </c>
      <c r="B7" t="s">
        <v>16</v>
      </c>
      <c r="C7" s="4">
        <v>80387</v>
      </c>
      <c r="D7" t="s">
        <v>39</v>
      </c>
    </row>
    <row r="8" spans="1:4" x14ac:dyDescent="0.2">
      <c r="A8" t="str">
        <f>_xlfn.CONCAT(B8,"_",D8)</f>
        <v>AWHP Individual_Hilversum</v>
      </c>
      <c r="B8" t="s">
        <v>14</v>
      </c>
      <c r="C8" s="4">
        <v>149936</v>
      </c>
      <c r="D8" t="s">
        <v>39</v>
      </c>
    </row>
    <row r="9" spans="1:4" x14ac:dyDescent="0.2">
      <c r="A9" t="str">
        <f>_xlfn.CONCAT(B9,"_",D9)</f>
        <v>AWHP Collective_Hilversum</v>
      </c>
      <c r="B9" t="s">
        <v>15</v>
      </c>
      <c r="C9" s="4">
        <v>69202</v>
      </c>
      <c r="D9" t="s">
        <v>39</v>
      </c>
    </row>
    <row r="10" spans="1:4" x14ac:dyDescent="0.2">
      <c r="A10" t="str">
        <f>_xlfn.CONCAT(B10,"_",D10)</f>
        <v>Aquathermal_Hilversum</v>
      </c>
      <c r="B10" t="s">
     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Geothermal_Hilversum</v>
      </c>
      <c r="B11" t="s">
        <v>9</v>
      </c>
      <c r="C11" s="4">
        <v>70080</v>
      </c>
      <c r="D11" t="s">
        <v>39</v>
      </c>
    </row>
    <row r="12" spans="1:4" x14ac:dyDescent="0.2">
      <c r="A12" t="str">
        <f t="shared" ref="A12:A31" si="0">_xlfn.CONCAT(B12,"_",D12)</f>
        <v>Natural Gas_Drogeham</v>
      </c>
      <c r="B12" t="s">
        <v>16</v>
      </c>
      <c r="C12" s="4">
        <v>133534</v>
      </c>
      <c r="D12" s="2" t="s">
        <v>50</v>
      </c>
    </row>
    <row r="13" spans="1:4" x14ac:dyDescent="0.2">
      <c r="A13" t="str">
        <f t="shared" si="0"/>
        <v>AWHP Individual_Drogeham</v>
      </c>
      <c r="B13" t="s">
        <v>14</v>
      </c>
      <c r="C13" s="4">
        <v>193552</v>
      </c>
      <c r="D13" s="2" t="s">
        <v>50</v>
      </c>
    </row>
    <row r="14" spans="1:4" x14ac:dyDescent="0.2">
      <c r="A14" t="str">
        <f t="shared" si="0"/>
        <v>AWHP Collective_Drogeham</v>
      </c>
      <c r="B14" t="s">
        <v>15</v>
      </c>
      <c r="C14" s="4">
        <v>128336</v>
      </c>
      <c r="D14" s="2" t="s">
        <v>50</v>
      </c>
    </row>
    <row r="15" spans="1:4" x14ac:dyDescent="0.2">
      <c r="A15" t="str">
        <f t="shared" ref="A15" si="1">_xlfn.CONCAT(B15,"_",D15)</f>
        <v>Aquathermal_Drogeham</v>
      </c>
      <c r="B15" t="s">
        <v>10</v>
      </c>
      <c r="C15" s="4">
        <v>120431</v>
      </c>
      <c r="D15" s="2" t="s">
        <v>50</v>
      </c>
    </row>
    <row r="16" spans="1:4" x14ac:dyDescent="0.2">
      <c r="A16" t="str">
        <f t="shared" si="0"/>
        <v>Geothermal_Drogeham</v>
      </c>
      <c r="B16" t="s">
        <v>9</v>
      </c>
      <c r="C16" s="4">
        <v>132246</v>
      </c>
      <c r="D16" s="2" t="s">
        <v>50</v>
      </c>
    </row>
    <row r="17" spans="1:4" x14ac:dyDescent="0.2">
      <c r="A17" t="str">
        <f t="shared" si="0"/>
        <v>Natural Gas_Laren-Centrum</v>
      </c>
      <c r="B17" t="s">
        <v>16</v>
      </c>
      <c r="C17" s="4">
        <v>103929</v>
      </c>
      <c r="D17" s="2" t="s">
        <v>51</v>
      </c>
    </row>
    <row r="18" spans="1:4" x14ac:dyDescent="0.2">
      <c r="A18" t="str">
        <f t="shared" si="0"/>
        <v>AWHP Individual_Laren-Centrum</v>
      </c>
      <c r="B18" t="s">
        <v>14</v>
      </c>
      <c r="C18" s="4">
        <v>169359</v>
      </c>
      <c r="D18" s="2" t="s">
        <v>51</v>
      </c>
    </row>
    <row r="19" spans="1:4" x14ac:dyDescent="0.2">
      <c r="A19" t="str">
        <f t="shared" si="0"/>
        <v>AWHP Collective_Laren-Centrum</v>
      </c>
      <c r="B19" t="s">
        <v>15</v>
      </c>
      <c r="C19" s="4">
        <v>96272</v>
      </c>
      <c r="D19" s="2" t="s">
        <v>51</v>
      </c>
    </row>
    <row r="20" spans="1:4" x14ac:dyDescent="0.2">
      <c r="A20" t="str">
        <f t="shared" ref="A20" si="2">_xlfn.CONCAT(B20,"_",D20)</f>
        <v>Aquathermal_Laren-Centrum</v>
      </c>
      <c r="B20" t="s">
        <v>10</v>
      </c>
      <c r="C20" s="4">
        <v>95577</v>
      </c>
      <c r="D20" s="2" t="s">
        <v>51</v>
      </c>
    </row>
    <row r="21" spans="1:4" x14ac:dyDescent="0.2">
      <c r="A21" t="str">
        <f t="shared" si="0"/>
        <v>Geothermal_Laren-Centrum</v>
      </c>
      <c r="B21" t="s">
        <v>9</v>
      </c>
      <c r="C21" s="4">
        <v>98977</v>
      </c>
      <c r="D21" s="2" t="s">
        <v>51</v>
      </c>
    </row>
    <row r="22" spans="1:4" x14ac:dyDescent="0.2">
      <c r="A22" t="str">
        <f t="shared" si="0"/>
        <v>Natural Gas_Elandsgrachtbuurt</v>
      </c>
      <c r="B22" t="s">
        <v>16</v>
      </c>
      <c r="C22" s="4">
        <v>78752</v>
      </c>
      <c r="D22" s="2" t="s">
        <v>52</v>
      </c>
    </row>
    <row r="23" spans="1:4" x14ac:dyDescent="0.2">
      <c r="A23" t="str">
        <f t="shared" si="0"/>
        <v>AWHP Individual_Elandsgrachtbuurt</v>
      </c>
      <c r="B23" t="s">
        <v>14</v>
      </c>
      <c r="C23" s="4">
        <v>148790</v>
      </c>
      <c r="D23" s="2" t="s">
        <v>52</v>
      </c>
    </row>
    <row r="24" spans="1:4" x14ac:dyDescent="0.2">
      <c r="A24" t="str">
        <f t="shared" si="0"/>
        <v>AWHP Collective_Elandsgrachtbuurt</v>
      </c>
      <c r="B24" t="s">
        <v>15</v>
      </c>
      <c r="C24" s="4">
        <v>53209</v>
      </c>
      <c r="D24" s="2" t="s">
        <v>52</v>
      </c>
    </row>
    <row r="25" spans="1:4" x14ac:dyDescent="0.2">
      <c r="A25" t="str">
        <f t="shared" ref="A25" si="3">_xlfn.CONCAT(B25,"_",D25)</f>
        <v>Aquathermal_Elandsgrachtbuurt</v>
      </c>
      <c r="B25" t="s">
        <v>10</v>
      </c>
      <c r="C25" s="4">
        <v>48791</v>
      </c>
      <c r="D25" s="2" t="s">
        <v>52</v>
      </c>
    </row>
    <row r="26" spans="1:4" x14ac:dyDescent="0.2">
      <c r="A26" t="str">
        <f t="shared" si="0"/>
        <v>Geothermal_Elandsgrachtbuurt</v>
      </c>
      <c r="B26" t="s">
        <v>9</v>
      </c>
      <c r="C26" s="4">
        <v>54878</v>
      </c>
      <c r="D26" s="2" t="s">
        <v>52</v>
      </c>
    </row>
    <row r="27" spans="1:4" x14ac:dyDescent="0.2">
      <c r="A27" t="str">
        <f t="shared" si="0"/>
        <v>Natural Gas_Norbeek</v>
      </c>
      <c r="B27" t="s">
        <v>16</v>
      </c>
      <c r="C27" s="4">
        <v>126250</v>
      </c>
      <c r="D27" s="2" t="s">
        <v>53</v>
      </c>
    </row>
    <row r="28" spans="1:4" x14ac:dyDescent="0.2">
      <c r="A28" t="str">
        <f t="shared" si="0"/>
        <v>AWHP Individual_Norbeek</v>
      </c>
      <c r="B28" t="s">
        <v>14</v>
      </c>
      <c r="C28" s="4">
        <v>187484</v>
      </c>
      <c r="D28" s="2" t="s">
        <v>53</v>
      </c>
    </row>
    <row r="29" spans="1:4" x14ac:dyDescent="0.2">
      <c r="A29" t="str">
        <f t="shared" si="0"/>
        <v>AWHP Collective_Norbeek</v>
      </c>
      <c r="B29" t="s">
        <v>15</v>
      </c>
      <c r="C29" s="4">
        <v>138974</v>
      </c>
      <c r="D29" s="2" t="s">
        <v>53</v>
      </c>
    </row>
    <row r="30" spans="1:4" x14ac:dyDescent="0.2">
      <c r="A30" t="str">
        <f t="shared" ref="A30" si="4">_xlfn.CONCAT(B30,"_",D30)</f>
        <v>Aquathermal_Norbeek</v>
      </c>
      <c r="B30" t="s">
        <v>10</v>
      </c>
      <c r="C30" s="4">
        <v>130769</v>
      </c>
      <c r="D30" s="2" t="s">
        <v>53</v>
      </c>
    </row>
    <row r="31" spans="1:4" x14ac:dyDescent="0.2">
      <c r="A31" t="str">
        <f t="shared" si="0"/>
        <v>Geothermal_Norbeek</v>
      </c>
      <c r="B31" t="s">
        <v>9</v>
      </c>
      <c r="C31" s="4">
        <v>141309</v>
      </c>
      <c r="D31" s="2" t="s">
        <v>53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0F79F-759F-F344-8268-DE15C599ED4F}">
  <dimension ref="A1:D6"/>
  <sheetViews>
    <sheetView workbookViewId="0">
      <selection activeCell="C7" sqref="C7"/>
    </sheetView>
  </sheetViews>
  <sheetFormatPr baseColWidth="10" defaultRowHeight="16" x14ac:dyDescent="0.2"/>
  <cols>
    <col min="1" max="1" width="14.6640625" bestFit="1" customWidth="1"/>
    <col min="2" max="2" width="12.1640625" bestFit="1" customWidth="1"/>
    <col min="3" max="3" width="12.1640625" customWidth="1"/>
    <col min="4" max="4" width="10.5" bestFit="1" customWidth="1"/>
  </cols>
  <sheetData>
    <row r="1" spans="1:4" x14ac:dyDescent="0.2">
      <c r="A1" t="s">
        <v>0</v>
      </c>
      <c r="B1" t="s">
        <v>17</v>
      </c>
      <c r="C1" t="s">
        <v>4</v>
      </c>
      <c r="D1" t="s">
        <v>12</v>
      </c>
    </row>
    <row r="2" spans="1:4" x14ac:dyDescent="0.2">
      <c r="A2" t="s">
        <v>16</v>
      </c>
      <c r="B2">
        <v>16290.310380000001</v>
      </c>
      <c r="C2" t="s">
        <v>5</v>
      </c>
      <c r="D2" t="s">
        <v>11</v>
      </c>
    </row>
    <row r="3" spans="1:4" x14ac:dyDescent="0.2">
      <c r="A3" t="s">
        <v>14</v>
      </c>
      <c r="B3">
        <v>8055.3820610000002</v>
      </c>
      <c r="C3" t="s">
        <v>5</v>
      </c>
      <c r="D3" t="s">
        <v>11</v>
      </c>
    </row>
    <row r="4" spans="1:4" x14ac:dyDescent="0.2">
      <c r="A4" t="s">
        <v>15</v>
      </c>
      <c r="B4">
        <v>11860.21387</v>
      </c>
      <c r="C4" t="s">
        <v>5</v>
      </c>
      <c r="D4" t="s">
        <v>11</v>
      </c>
    </row>
    <row r="5" spans="1:4" x14ac:dyDescent="0.2">
      <c r="A5" t="s">
        <v>10</v>
      </c>
      <c r="B5">
        <v>8341.8224470000005</v>
      </c>
      <c r="C5" t="s">
        <v>5</v>
      </c>
      <c r="D5" t="s">
        <v>11</v>
      </c>
    </row>
    <row r="6" spans="1:4" ht="15" customHeight="1" x14ac:dyDescent="0.2">
      <c r="A6" t="s">
        <v>9</v>
      </c>
      <c r="B6">
        <v>6658.08878</v>
      </c>
      <c r="C6" t="s">
        <v>5</v>
      </c>
      <c r="D6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417DA-88A9-2242-BB46-EE389DD93EB6}">
  <dimension ref="A1:D16"/>
  <sheetViews>
    <sheetView zoomScale="150" zoomScaleNormal="150" workbookViewId="0">
      <selection activeCell="D17" sqref="D17"/>
    </sheetView>
  </sheetViews>
  <sheetFormatPr baseColWidth="10" defaultRowHeight="16" x14ac:dyDescent="0.2"/>
  <cols>
    <col min="1" max="1" width="14.6640625" bestFit="1" customWidth="1"/>
  </cols>
  <sheetData>
    <row r="1" spans="1:4" x14ac:dyDescent="0.2">
      <c r="A1" t="s">
        <v>0</v>
      </c>
      <c r="B1" t="s">
        <v>2</v>
      </c>
      <c r="C1" t="s">
        <v>1</v>
      </c>
      <c r="D1" t="s">
        <v>4</v>
      </c>
    </row>
    <row r="2" spans="1:4" x14ac:dyDescent="0.2">
      <c r="A2" t="s">
        <v>14</v>
      </c>
      <c r="B2" t="s">
        <v>6</v>
      </c>
      <c r="C2">
        <v>0</v>
      </c>
      <c r="D2" s="2" t="s">
        <v>5</v>
      </c>
    </row>
    <row r="3" spans="1:4" x14ac:dyDescent="0.2">
      <c r="A3" t="s">
        <v>14</v>
      </c>
      <c r="B3" t="s">
        <v>7</v>
      </c>
      <c r="C3">
        <v>149556.9</v>
      </c>
      <c r="D3" s="2" t="s">
        <v>5</v>
      </c>
    </row>
    <row r="4" spans="1:4" x14ac:dyDescent="0.2">
      <c r="A4" t="s">
        <v>14</v>
      </c>
      <c r="B4" t="s">
        <v>8</v>
      </c>
      <c r="C4">
        <v>10000</v>
      </c>
      <c r="D4" s="2" t="s">
        <v>5</v>
      </c>
    </row>
    <row r="5" spans="1:4" x14ac:dyDescent="0.2">
      <c r="A5" t="s">
        <v>15</v>
      </c>
      <c r="B5" t="s">
        <v>6</v>
      </c>
      <c r="C5">
        <v>6.9405479999999997</v>
      </c>
      <c r="D5" s="2" t="s">
        <v>5</v>
      </c>
    </row>
    <row r="6" spans="1:4" x14ac:dyDescent="0.2">
      <c r="A6" t="s">
        <v>15</v>
      </c>
      <c r="B6" t="s">
        <v>7</v>
      </c>
      <c r="C6">
        <v>63999.18</v>
      </c>
      <c r="D6" s="2" t="s">
        <v>5</v>
      </c>
    </row>
    <row r="7" spans="1:4" x14ac:dyDescent="0.2">
      <c r="A7" t="s">
        <v>15</v>
      </c>
      <c r="B7" t="s">
        <v>8</v>
      </c>
      <c r="C7">
        <v>38872.67</v>
      </c>
      <c r="D7" s="2" t="s">
        <v>5</v>
      </c>
    </row>
    <row r="8" spans="1:4" x14ac:dyDescent="0.2">
      <c r="A8" t="s">
        <v>9</v>
      </c>
      <c r="B8" t="s">
        <v>6</v>
      </c>
      <c r="C8">
        <v>32046.16</v>
      </c>
      <c r="D8" s="2" t="s">
        <v>5</v>
      </c>
    </row>
    <row r="9" spans="1:4" x14ac:dyDescent="0.2">
      <c r="A9" t="s">
        <v>9</v>
      </c>
      <c r="B9" t="s">
        <v>7</v>
      </c>
      <c r="C9">
        <v>57555.39</v>
      </c>
      <c r="D9" s="2" t="s">
        <v>5</v>
      </c>
    </row>
    <row r="10" spans="1:4" x14ac:dyDescent="0.2">
      <c r="A10" t="s">
        <v>9</v>
      </c>
      <c r="B10" t="s">
        <v>8</v>
      </c>
      <c r="C10">
        <v>38872.67</v>
      </c>
      <c r="D10" s="2" t="s">
        <v>5</v>
      </c>
    </row>
    <row r="11" spans="1:4" x14ac:dyDescent="0.2">
      <c r="A11" t="s">
        <v>10</v>
      </c>
      <c r="B11" t="s">
        <v>6</v>
      </c>
      <c r="C11">
        <v>23889.3</v>
      </c>
      <c r="D11" s="2" t="s">
        <v>5</v>
      </c>
    </row>
    <row r="12" spans="1:4" x14ac:dyDescent="0.2">
      <c r="A12" t="s">
        <v>10</v>
      </c>
      <c r="B12" t="s">
        <v>7</v>
      </c>
      <c r="C12">
        <v>57555.39</v>
      </c>
      <c r="D12" s="2" t="s">
        <v>5</v>
      </c>
    </row>
    <row r="13" spans="1:4" x14ac:dyDescent="0.2">
      <c r="A13" t="s">
        <v>10</v>
      </c>
      <c r="B13" t="s">
        <v>8</v>
      </c>
      <c r="C13">
        <v>38872.67</v>
      </c>
      <c r="D13" s="2" t="s">
        <v>5</v>
      </c>
    </row>
    <row r="14" spans="1:4" x14ac:dyDescent="0.2">
      <c r="A14" t="s">
        <v>16</v>
      </c>
      <c r="B14" t="s">
        <v>6</v>
      </c>
      <c r="C14">
        <v>0</v>
      </c>
      <c r="D14" s="2" t="s">
        <v>5</v>
      </c>
    </row>
    <row r="15" spans="1:4" x14ac:dyDescent="0.2">
      <c r="A15" t="s">
        <v>16</v>
      </c>
      <c r="B15" t="s">
        <v>7</v>
      </c>
      <c r="C15">
        <v>11807.19</v>
      </c>
      <c r="D15" s="2" t="s">
        <v>5</v>
      </c>
    </row>
    <row r="16" spans="1:4" x14ac:dyDescent="0.2">
      <c r="A16" t="s">
        <v>16</v>
      </c>
      <c r="B16" t="s">
        <v>8</v>
      </c>
      <c r="C16">
        <v>0</v>
      </c>
      <c r="D16" s="2" t="s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B4CA-953D-D348-A441-78180EB12D08}">
  <dimension ref="A1:F171"/>
  <sheetViews>
    <sheetView tabSelected="1" topLeftCell="A143" workbookViewId="0">
      <selection activeCell="I154" sqref="I154"/>
    </sheetView>
  </sheetViews>
  <sheetFormatPr baseColWidth="10" defaultRowHeight="16" x14ac:dyDescent="0.2"/>
  <cols>
    <col min="2" max="2" width="14.6640625" bestFit="1" customWidth="1"/>
    <col min="3" max="3" width="31" bestFit="1" customWidth="1"/>
    <col min="4" max="6" width="9.6640625" style="3" bestFit="1" customWidth="1"/>
  </cols>
  <sheetData>
    <row r="1" spans="1:6" x14ac:dyDescent="0.2">
      <c r="A1" t="s">
        <v>4</v>
      </c>
      <c r="B1" t="s">
        <v>0</v>
      </c>
      <c r="C1" t="s">
        <v>18</v>
      </c>
      <c r="D1" s="3" t="s">
        <v>19</v>
      </c>
      <c r="E1" s="3" t="s">
        <v>20</v>
      </c>
      <c r="F1" s="3" t="s">
        <v>21</v>
      </c>
    </row>
    <row r="2" spans="1:6" x14ac:dyDescent="0.2">
      <c r="A2" t="s">
        <v>5</v>
      </c>
      <c r="B2" t="s">
        <v>14</v>
      </c>
      <c r="C2" t="s">
        <v>22</v>
      </c>
      <c r="D2" s="3">
        <v>189447.23</v>
      </c>
      <c r="E2" s="3">
        <v>189447.23</v>
      </c>
      <c r="F2" s="3">
        <v>189447.23</v>
      </c>
    </row>
    <row r="3" spans="1:6" x14ac:dyDescent="0.2">
      <c r="A3" t="s">
        <v>5</v>
      </c>
      <c r="B3" t="s">
        <v>14</v>
      </c>
      <c r="C3" t="s">
        <v>23</v>
      </c>
      <c r="D3" s="3">
        <v>189447.23</v>
      </c>
      <c r="E3" s="3">
        <v>189447.23</v>
      </c>
      <c r="F3" s="3">
        <v>189447.23</v>
      </c>
    </row>
    <row r="4" spans="1:6" x14ac:dyDescent="0.2">
      <c r="A4" t="s">
        <v>5</v>
      </c>
      <c r="B4" t="s">
        <v>14</v>
      </c>
      <c r="C4" t="s">
        <v>24</v>
      </c>
      <c r="D4" s="3">
        <v>189447.23</v>
      </c>
      <c r="E4" s="3">
        <v>189447.23</v>
      </c>
      <c r="F4" s="3">
        <v>189447.23</v>
      </c>
    </row>
    <row r="5" spans="1:6" x14ac:dyDescent="0.2">
      <c r="A5" t="s">
        <v>5</v>
      </c>
      <c r="B5" t="s">
        <v>14</v>
      </c>
      <c r="C5" t="s">
        <v>25</v>
      </c>
      <c r="D5" s="3">
        <v>189447.23</v>
      </c>
      <c r="E5" s="3">
        <v>189447.23</v>
      </c>
      <c r="F5" s="3">
        <v>189447.23</v>
      </c>
    </row>
    <row r="6" spans="1:6" x14ac:dyDescent="0.2">
      <c r="A6" t="s">
        <v>5</v>
      </c>
      <c r="B6" t="s">
        <v>14</v>
      </c>
      <c r="C6" t="s">
        <v>26</v>
      </c>
      <c r="D6" s="3">
        <v>148075.41</v>
      </c>
      <c r="E6" s="3">
        <v>189447.23</v>
      </c>
      <c r="F6" s="3">
        <v>226283</v>
      </c>
    </row>
    <row r="7" spans="1:6" x14ac:dyDescent="0.2">
      <c r="A7" t="s">
        <v>5</v>
      </c>
      <c r="B7" t="s">
        <v>14</v>
      </c>
      <c r="C7" t="s">
        <v>27</v>
      </c>
      <c r="D7" s="3">
        <v>189447.23</v>
      </c>
      <c r="E7" s="3">
        <v>189447.23</v>
      </c>
      <c r="F7" s="3">
        <v>189447.23</v>
      </c>
    </row>
    <row r="8" spans="1:6" x14ac:dyDescent="0.2">
      <c r="A8" t="s">
        <v>5</v>
      </c>
      <c r="B8" t="s">
        <v>14</v>
      </c>
      <c r="C8" t="s">
        <v>28</v>
      </c>
      <c r="D8" s="3">
        <v>183919.66</v>
      </c>
      <c r="E8" s="3">
        <v>189447.23</v>
      </c>
      <c r="F8" s="3">
        <v>200912.69</v>
      </c>
    </row>
    <row r="9" spans="1:6" x14ac:dyDescent="0.2">
      <c r="A9" t="s">
        <v>5</v>
      </c>
      <c r="B9" t="s">
        <v>14</v>
      </c>
      <c r="C9" t="s">
        <v>29</v>
      </c>
      <c r="D9" s="3">
        <v>317653.88</v>
      </c>
      <c r="E9" s="3">
        <v>189447.23</v>
      </c>
      <c r="F9" s="3">
        <v>101678.95</v>
      </c>
    </row>
    <row r="10" spans="1:6" x14ac:dyDescent="0.2">
      <c r="A10" t="s">
        <v>5</v>
      </c>
      <c r="B10" t="s">
        <v>14</v>
      </c>
      <c r="C10" t="s">
        <v>30</v>
      </c>
      <c r="D10" s="3">
        <v>189447.23</v>
      </c>
      <c r="E10" s="3">
        <v>189447.23</v>
      </c>
      <c r="F10" s="3">
        <v>189447.23</v>
      </c>
    </row>
    <row r="11" spans="1:6" x14ac:dyDescent="0.2">
      <c r="A11" t="s">
        <v>5</v>
      </c>
      <c r="B11" t="s">
        <v>14</v>
      </c>
      <c r="C11" t="s">
        <v>31</v>
      </c>
      <c r="D11" s="3">
        <v>189447.23</v>
      </c>
      <c r="E11" s="3">
        <v>189447.23</v>
      </c>
      <c r="F11" s="3">
        <v>189447.23</v>
      </c>
    </row>
    <row r="12" spans="1:6" x14ac:dyDescent="0.2">
      <c r="A12" t="s">
        <v>5</v>
      </c>
      <c r="B12" t="s">
        <v>14</v>
      </c>
      <c r="C12" t="s">
        <v>32</v>
      </c>
      <c r="D12" s="3">
        <v>189447.23</v>
      </c>
      <c r="E12" s="3">
        <v>189447.23</v>
      </c>
      <c r="F12" s="3">
        <v>189447.23</v>
      </c>
    </row>
    <row r="13" spans="1:6" x14ac:dyDescent="0.2">
      <c r="A13" t="s">
        <v>5</v>
      </c>
      <c r="B13" t="s">
        <v>14</v>
      </c>
      <c r="C13" t="s">
        <v>33</v>
      </c>
      <c r="D13" s="3">
        <v>189447.23</v>
      </c>
      <c r="E13" s="3">
        <v>189447.23</v>
      </c>
      <c r="F13" s="3">
        <v>189447.23</v>
      </c>
    </row>
    <row r="14" spans="1:6" x14ac:dyDescent="0.2">
      <c r="A14" t="s">
        <v>5</v>
      </c>
      <c r="B14" t="s">
        <v>14</v>
      </c>
      <c r="C14" t="s">
        <v>34</v>
      </c>
      <c r="D14" s="3">
        <v>189447.23</v>
      </c>
      <c r="E14" s="3">
        <v>189447.23</v>
      </c>
      <c r="F14" s="3">
        <v>189447.23</v>
      </c>
    </row>
    <row r="15" spans="1:6" x14ac:dyDescent="0.2">
      <c r="A15" t="s">
        <v>5</v>
      </c>
      <c r="B15" t="s">
        <v>14</v>
      </c>
      <c r="C15" t="s">
        <v>35</v>
      </c>
      <c r="D15" s="3">
        <v>189447.23</v>
      </c>
      <c r="E15" s="3">
        <v>189447.23</v>
      </c>
      <c r="F15" s="3">
        <v>189447.23</v>
      </c>
    </row>
    <row r="16" spans="1:6" x14ac:dyDescent="0.2">
      <c r="A16" t="s">
        <v>5</v>
      </c>
      <c r="B16" t="s">
        <v>14</v>
      </c>
      <c r="C16" t="s">
        <v>36</v>
      </c>
      <c r="D16" s="3">
        <v>185436.02</v>
      </c>
      <c r="E16" s="3">
        <v>189447.23</v>
      </c>
      <c r="F16" s="3">
        <v>193484.27</v>
      </c>
    </row>
    <row r="17" spans="1:6" x14ac:dyDescent="0.2">
      <c r="A17" t="s">
        <v>5</v>
      </c>
      <c r="B17" t="s">
        <v>14</v>
      </c>
      <c r="C17" t="s">
        <v>37</v>
      </c>
      <c r="D17" s="3">
        <v>189447.23</v>
      </c>
      <c r="E17" s="3">
        <v>189447.23</v>
      </c>
      <c r="F17" s="3">
        <v>189447.23</v>
      </c>
    </row>
    <row r="18" spans="1:6" x14ac:dyDescent="0.2">
      <c r="A18" t="s">
        <v>5</v>
      </c>
      <c r="B18" t="s">
        <v>14</v>
      </c>
      <c r="C18" t="s">
        <v>38</v>
      </c>
      <c r="D18" s="3">
        <v>189447.23</v>
      </c>
      <c r="E18" s="3">
        <v>189447.23</v>
      </c>
      <c r="F18" s="3">
        <v>189447.23</v>
      </c>
    </row>
    <row r="19" spans="1:6" x14ac:dyDescent="0.2">
      <c r="A19" t="s">
        <v>5</v>
      </c>
      <c r="B19" t="s">
        <v>15</v>
      </c>
      <c r="C19" t="s">
        <v>22</v>
      </c>
      <c r="D19" s="3">
        <v>145837.35</v>
      </c>
      <c r="E19" s="3">
        <v>145837.35</v>
      </c>
      <c r="F19" s="3">
        <v>145837.35</v>
      </c>
    </row>
    <row r="20" spans="1:6" x14ac:dyDescent="0.2">
      <c r="A20" t="s">
        <v>5</v>
      </c>
      <c r="B20" t="s">
        <v>15</v>
      </c>
      <c r="C20" t="s">
        <v>23</v>
      </c>
      <c r="D20" s="3">
        <v>145836.79</v>
      </c>
      <c r="E20" s="3">
        <v>145837.35</v>
      </c>
      <c r="F20" s="3">
        <v>145836.79</v>
      </c>
    </row>
    <row r="21" spans="1:6" x14ac:dyDescent="0.2">
      <c r="A21" t="s">
        <v>5</v>
      </c>
      <c r="B21" t="s">
        <v>15</v>
      </c>
      <c r="C21" t="s">
        <v>24</v>
      </c>
      <c r="D21" s="3">
        <v>145836.79</v>
      </c>
      <c r="E21" s="3">
        <v>145837.35</v>
      </c>
      <c r="F21" s="3">
        <v>145836.79</v>
      </c>
    </row>
    <row r="22" spans="1:6" x14ac:dyDescent="0.2">
      <c r="A22" t="s">
        <v>5</v>
      </c>
      <c r="B22" t="s">
        <v>15</v>
      </c>
      <c r="C22" t="s">
        <v>25</v>
      </c>
      <c r="D22" s="3">
        <v>134657.96</v>
      </c>
      <c r="E22" s="3">
        <v>145837.35</v>
      </c>
      <c r="F22" s="3">
        <v>201735.73</v>
      </c>
    </row>
    <row r="23" spans="1:6" x14ac:dyDescent="0.2">
      <c r="A23" t="s">
        <v>5</v>
      </c>
      <c r="B23" t="s">
        <v>15</v>
      </c>
      <c r="C23" t="s">
        <v>26</v>
      </c>
      <c r="D23" s="3">
        <v>145836.79</v>
      </c>
      <c r="E23" s="3">
        <v>145837.35</v>
      </c>
      <c r="F23" s="3">
        <v>145836.79</v>
      </c>
    </row>
    <row r="24" spans="1:6" x14ac:dyDescent="0.2">
      <c r="A24" t="s">
        <v>5</v>
      </c>
      <c r="B24" t="s">
        <v>15</v>
      </c>
      <c r="C24" t="s">
        <v>27</v>
      </c>
      <c r="D24" s="3">
        <v>145855.15</v>
      </c>
      <c r="E24" s="3">
        <v>145837.35</v>
      </c>
      <c r="F24" s="3">
        <v>138795.97</v>
      </c>
    </row>
    <row r="25" spans="1:6" x14ac:dyDescent="0.2">
      <c r="A25" t="s">
        <v>5</v>
      </c>
      <c r="B25" t="s">
        <v>15</v>
      </c>
      <c r="C25" t="s">
        <v>28</v>
      </c>
      <c r="D25" s="3">
        <v>135950.79999999999</v>
      </c>
      <c r="E25" s="3">
        <v>145837.35</v>
      </c>
      <c r="F25" s="3">
        <v>171251.8</v>
      </c>
    </row>
    <row r="26" spans="1:6" x14ac:dyDescent="0.2">
      <c r="A26" t="s">
        <v>5</v>
      </c>
      <c r="B26" t="s">
        <v>15</v>
      </c>
      <c r="C26" t="s">
        <v>29</v>
      </c>
      <c r="D26" s="3">
        <v>262276.56</v>
      </c>
      <c r="E26" s="3">
        <v>145837.35</v>
      </c>
      <c r="F26" s="3">
        <v>71960.52</v>
      </c>
    </row>
    <row r="27" spans="1:6" x14ac:dyDescent="0.2">
      <c r="A27" t="s">
        <v>5</v>
      </c>
      <c r="B27" t="s">
        <v>15</v>
      </c>
      <c r="C27" t="s">
        <v>30</v>
      </c>
      <c r="D27" s="3">
        <v>143644.81</v>
      </c>
      <c r="E27" s="3">
        <v>145837.35</v>
      </c>
      <c r="F27" s="3">
        <v>148028.72</v>
      </c>
    </row>
    <row r="28" spans="1:6" x14ac:dyDescent="0.2">
      <c r="A28" t="s">
        <v>5</v>
      </c>
      <c r="B28" t="s">
        <v>15</v>
      </c>
      <c r="C28" t="s">
        <v>31</v>
      </c>
      <c r="D28" s="3">
        <v>147913.07999999999</v>
      </c>
      <c r="E28" s="3">
        <v>145837.35</v>
      </c>
      <c r="F28" s="3">
        <v>143743.70000000001</v>
      </c>
    </row>
    <row r="29" spans="1:6" x14ac:dyDescent="0.2">
      <c r="A29" t="s">
        <v>5</v>
      </c>
      <c r="B29" t="s">
        <v>15</v>
      </c>
      <c r="C29" t="s">
        <v>32</v>
      </c>
      <c r="D29" s="3">
        <v>154762.13</v>
      </c>
      <c r="E29" s="3">
        <v>145837.35</v>
      </c>
      <c r="F29" s="3">
        <v>138410.97</v>
      </c>
    </row>
    <row r="30" spans="1:6" x14ac:dyDescent="0.2">
      <c r="A30" t="s">
        <v>5</v>
      </c>
      <c r="B30" t="s">
        <v>15</v>
      </c>
      <c r="C30" t="s">
        <v>33</v>
      </c>
      <c r="D30" s="3">
        <v>142799.26</v>
      </c>
      <c r="E30" s="3">
        <v>145837.35</v>
      </c>
      <c r="F30" s="3">
        <v>154091.44</v>
      </c>
    </row>
    <row r="31" spans="1:6" x14ac:dyDescent="0.2">
      <c r="A31" t="s">
        <v>5</v>
      </c>
      <c r="B31" t="s">
        <v>15</v>
      </c>
      <c r="C31" t="s">
        <v>34</v>
      </c>
      <c r="D31" s="3">
        <v>144752.32000000001</v>
      </c>
      <c r="E31" s="3">
        <v>145837.35</v>
      </c>
      <c r="F31" s="3">
        <v>146947.93</v>
      </c>
    </row>
    <row r="32" spans="1:6" x14ac:dyDescent="0.2">
      <c r="A32" t="s">
        <v>5</v>
      </c>
      <c r="B32" t="s">
        <v>15</v>
      </c>
      <c r="C32" t="s">
        <v>35</v>
      </c>
      <c r="D32" s="3">
        <v>145836.70000000001</v>
      </c>
      <c r="E32" s="3">
        <v>145837.35</v>
      </c>
      <c r="F32" s="3">
        <v>145836.70000000001</v>
      </c>
    </row>
    <row r="33" spans="1:6" x14ac:dyDescent="0.2">
      <c r="A33" t="s">
        <v>5</v>
      </c>
      <c r="B33" t="s">
        <v>15</v>
      </c>
      <c r="C33" t="s">
        <v>36</v>
      </c>
      <c r="D33" s="3">
        <v>143625.18</v>
      </c>
      <c r="E33" s="3">
        <v>145837.35</v>
      </c>
      <c r="F33" s="3">
        <v>148062.44</v>
      </c>
    </row>
    <row r="34" spans="1:6" x14ac:dyDescent="0.2">
      <c r="A34" t="s">
        <v>5</v>
      </c>
      <c r="B34" t="s">
        <v>15</v>
      </c>
      <c r="C34" t="s">
        <v>37</v>
      </c>
      <c r="D34" s="3">
        <v>145836.95000000001</v>
      </c>
      <c r="E34" s="3">
        <v>145837.35</v>
      </c>
      <c r="F34" s="3">
        <v>145836.78</v>
      </c>
    </row>
    <row r="35" spans="1:6" x14ac:dyDescent="0.2">
      <c r="A35" t="s">
        <v>5</v>
      </c>
      <c r="B35" t="s">
        <v>15</v>
      </c>
      <c r="C35" t="s">
        <v>38</v>
      </c>
      <c r="D35" s="3">
        <v>145836.78</v>
      </c>
      <c r="E35" s="3">
        <v>145837.35</v>
      </c>
      <c r="F35" s="3">
        <v>145836.78</v>
      </c>
    </row>
    <row r="36" spans="1:6" x14ac:dyDescent="0.2">
      <c r="A36" t="s">
        <v>5</v>
      </c>
      <c r="B36" t="s">
        <v>9</v>
      </c>
      <c r="C36" t="s">
        <v>22</v>
      </c>
      <c r="D36" s="3">
        <v>154318.95000000001</v>
      </c>
      <c r="E36" s="3">
        <v>154318.95000000001</v>
      </c>
      <c r="F36" s="3">
        <v>154318.95000000001</v>
      </c>
    </row>
    <row r="37" spans="1:6" x14ac:dyDescent="0.2">
      <c r="A37" t="s">
        <v>5</v>
      </c>
      <c r="B37" t="s">
        <v>9</v>
      </c>
      <c r="C37" t="s">
        <v>23</v>
      </c>
      <c r="D37" s="3">
        <v>154318.95000000001</v>
      </c>
      <c r="E37" s="3">
        <v>154318.95000000001</v>
      </c>
      <c r="F37" s="3">
        <v>154317</v>
      </c>
    </row>
    <row r="38" spans="1:6" x14ac:dyDescent="0.2">
      <c r="A38" t="s">
        <v>5</v>
      </c>
      <c r="B38" t="s">
        <v>9</v>
      </c>
      <c r="C38" t="s">
        <v>24</v>
      </c>
      <c r="D38" s="3">
        <v>154316.98000000001</v>
      </c>
      <c r="E38" s="3">
        <v>154318.95000000001</v>
      </c>
      <c r="F38" s="3">
        <v>154316.98000000001</v>
      </c>
    </row>
    <row r="39" spans="1:6" x14ac:dyDescent="0.2">
      <c r="A39" t="s">
        <v>5</v>
      </c>
      <c r="B39" t="s">
        <v>9</v>
      </c>
      <c r="C39" t="s">
        <v>25</v>
      </c>
      <c r="D39" s="3">
        <v>148042.78</v>
      </c>
      <c r="E39" s="3">
        <v>154318.95000000001</v>
      </c>
      <c r="F39" s="3">
        <v>185697.7</v>
      </c>
    </row>
    <row r="40" spans="1:6" x14ac:dyDescent="0.2">
      <c r="A40" t="s">
        <v>5</v>
      </c>
      <c r="B40" t="s">
        <v>9</v>
      </c>
      <c r="C40" t="s">
        <v>26</v>
      </c>
      <c r="D40" s="3">
        <v>154319.01999999999</v>
      </c>
      <c r="E40" s="3">
        <v>154318.95000000001</v>
      </c>
      <c r="F40" s="3">
        <v>154316.97</v>
      </c>
    </row>
    <row r="41" spans="1:6" x14ac:dyDescent="0.2">
      <c r="A41" t="s">
        <v>5</v>
      </c>
      <c r="B41" t="s">
        <v>9</v>
      </c>
      <c r="C41" t="s">
        <v>27</v>
      </c>
      <c r="D41" s="3">
        <v>153737.85</v>
      </c>
      <c r="E41" s="3">
        <v>154318.95000000001</v>
      </c>
      <c r="F41" s="3">
        <v>147713.35</v>
      </c>
    </row>
    <row r="42" spans="1:6" x14ac:dyDescent="0.2">
      <c r="A42" t="s">
        <v>5</v>
      </c>
      <c r="B42" t="s">
        <v>9</v>
      </c>
      <c r="C42" t="s">
        <v>28</v>
      </c>
      <c r="D42" s="3">
        <v>141359.47</v>
      </c>
      <c r="E42" s="3">
        <v>154318.95000000001</v>
      </c>
      <c r="F42" s="3">
        <v>187445.6</v>
      </c>
    </row>
    <row r="43" spans="1:6" x14ac:dyDescent="0.2">
      <c r="A43" t="s">
        <v>5</v>
      </c>
      <c r="B43" t="s">
        <v>9</v>
      </c>
      <c r="C43" t="s">
        <v>29</v>
      </c>
      <c r="D43" s="3">
        <v>277716.77</v>
      </c>
      <c r="E43" s="3">
        <v>154318.95000000001</v>
      </c>
      <c r="F43" s="3">
        <v>76031.56</v>
      </c>
    </row>
    <row r="44" spans="1:6" x14ac:dyDescent="0.2">
      <c r="A44" t="s">
        <v>5</v>
      </c>
      <c r="B44" t="s">
        <v>9</v>
      </c>
      <c r="C44" t="s">
        <v>30</v>
      </c>
      <c r="D44" s="3">
        <v>149619.97</v>
      </c>
      <c r="E44" s="3">
        <v>154318.95000000001</v>
      </c>
      <c r="F44" s="3">
        <v>159020.70000000001</v>
      </c>
    </row>
    <row r="45" spans="1:6" x14ac:dyDescent="0.2">
      <c r="A45" t="s">
        <v>5</v>
      </c>
      <c r="B45" t="s">
        <v>9</v>
      </c>
      <c r="C45" t="s">
        <v>31</v>
      </c>
      <c r="D45" s="3">
        <v>157184.82</v>
      </c>
      <c r="E45" s="3">
        <v>154318.95000000001</v>
      </c>
      <c r="F45" s="3">
        <v>151447.9</v>
      </c>
    </row>
    <row r="46" spans="1:6" x14ac:dyDescent="0.2">
      <c r="A46" t="s">
        <v>5</v>
      </c>
      <c r="B46" t="s">
        <v>9</v>
      </c>
      <c r="C46" t="s">
        <v>32</v>
      </c>
      <c r="D46" s="3">
        <v>170613.6</v>
      </c>
      <c r="E46" s="3">
        <v>154318.95000000001</v>
      </c>
      <c r="F46" s="3">
        <v>144095.32999999999</v>
      </c>
    </row>
    <row r="47" spans="1:6" x14ac:dyDescent="0.2">
      <c r="A47" t="s">
        <v>5</v>
      </c>
      <c r="B47" t="s">
        <v>9</v>
      </c>
      <c r="C47" t="s">
        <v>33</v>
      </c>
      <c r="D47" s="3">
        <v>144806.04</v>
      </c>
      <c r="E47" s="3">
        <v>154318.95000000001</v>
      </c>
      <c r="F47" s="3">
        <v>170898.25</v>
      </c>
    </row>
    <row r="48" spans="1:6" x14ac:dyDescent="0.2">
      <c r="A48" t="s">
        <v>5</v>
      </c>
      <c r="B48" t="s">
        <v>9</v>
      </c>
      <c r="C48" t="s">
        <v>34</v>
      </c>
      <c r="D48" s="3">
        <v>153252.24</v>
      </c>
      <c r="E48" s="3">
        <v>154318.95000000001</v>
      </c>
      <c r="F48" s="3">
        <v>155421.85</v>
      </c>
    </row>
    <row r="49" spans="1:6" x14ac:dyDescent="0.2">
      <c r="A49" t="s">
        <v>5</v>
      </c>
      <c r="B49" t="s">
        <v>9</v>
      </c>
      <c r="C49" t="s">
        <v>35</v>
      </c>
      <c r="D49" s="3">
        <v>154482.59</v>
      </c>
      <c r="E49" s="3">
        <v>154318.95000000001</v>
      </c>
      <c r="F49" s="3">
        <v>154501.4</v>
      </c>
    </row>
    <row r="50" spans="1:6" x14ac:dyDescent="0.2">
      <c r="A50" t="s">
        <v>5</v>
      </c>
      <c r="B50" t="s">
        <v>9</v>
      </c>
      <c r="C50" t="s">
        <v>36</v>
      </c>
      <c r="D50" s="3">
        <v>154316.97</v>
      </c>
      <c r="E50" s="3">
        <v>154318.95000000001</v>
      </c>
      <c r="F50" s="3">
        <v>154316.97</v>
      </c>
    </row>
    <row r="51" spans="1:6" x14ac:dyDescent="0.2">
      <c r="A51" t="s">
        <v>5</v>
      </c>
      <c r="B51" t="s">
        <v>9</v>
      </c>
      <c r="C51" t="s">
        <v>37</v>
      </c>
      <c r="D51" s="3">
        <v>157511.25</v>
      </c>
      <c r="E51" s="3">
        <v>154318.95000000001</v>
      </c>
      <c r="F51" s="3">
        <v>151703.64000000001</v>
      </c>
    </row>
    <row r="52" spans="1:6" x14ac:dyDescent="0.2">
      <c r="A52" t="s">
        <v>5</v>
      </c>
      <c r="B52" t="s">
        <v>9</v>
      </c>
      <c r="C52" t="s">
        <v>38</v>
      </c>
      <c r="D52" s="3">
        <v>154319.1</v>
      </c>
      <c r="E52" s="3">
        <v>154318.95000000001</v>
      </c>
      <c r="F52" s="3">
        <v>154316.97</v>
      </c>
    </row>
    <row r="53" spans="1:6" x14ac:dyDescent="0.2">
      <c r="A53" t="s">
        <v>5</v>
      </c>
      <c r="B53" t="s">
        <v>10</v>
      </c>
      <c r="C53" t="s">
        <v>22</v>
      </c>
      <c r="D53" s="3">
        <v>142463.01</v>
      </c>
      <c r="E53" s="3">
        <v>142463.01</v>
      </c>
      <c r="F53" s="3">
        <v>142463.01</v>
      </c>
    </row>
    <row r="54" spans="1:6" x14ac:dyDescent="0.2">
      <c r="A54" t="s">
        <v>5</v>
      </c>
      <c r="B54" t="s">
        <v>10</v>
      </c>
      <c r="C54" t="s">
        <v>23</v>
      </c>
      <c r="D54" s="3">
        <v>142470.31</v>
      </c>
      <c r="E54" s="3">
        <v>142463.01</v>
      </c>
      <c r="F54" s="3">
        <v>142470.29</v>
      </c>
    </row>
    <row r="55" spans="1:6" x14ac:dyDescent="0.2">
      <c r="A55" t="s">
        <v>5</v>
      </c>
      <c r="B55" t="s">
        <v>10</v>
      </c>
      <c r="C55" t="s">
        <v>24</v>
      </c>
      <c r="D55" s="3">
        <v>142470.29</v>
      </c>
      <c r="E55" s="3">
        <v>142463.01</v>
      </c>
      <c r="F55" s="3">
        <v>142470.29</v>
      </c>
    </row>
    <row r="56" spans="1:6" x14ac:dyDescent="0.2">
      <c r="A56" t="s">
        <v>5</v>
      </c>
      <c r="B56" t="s">
        <v>10</v>
      </c>
      <c r="C56" t="s">
        <v>25</v>
      </c>
      <c r="D56" s="3">
        <v>134616.35999999999</v>
      </c>
      <c r="E56" s="3">
        <v>142463.01</v>
      </c>
      <c r="F56" s="3">
        <v>181700.77</v>
      </c>
    </row>
    <row r="57" spans="1:6" x14ac:dyDescent="0.2">
      <c r="A57" t="s">
        <v>5</v>
      </c>
      <c r="B57" t="s">
        <v>10</v>
      </c>
      <c r="C57" t="s">
        <v>26</v>
      </c>
      <c r="D57" s="3">
        <v>142370.71</v>
      </c>
      <c r="E57" s="3">
        <v>142463.01</v>
      </c>
      <c r="F57" s="3">
        <v>142470.74</v>
      </c>
    </row>
    <row r="58" spans="1:6" x14ac:dyDescent="0.2">
      <c r="A58" t="s">
        <v>5</v>
      </c>
      <c r="B58" t="s">
        <v>10</v>
      </c>
      <c r="C58" t="s">
        <v>27</v>
      </c>
      <c r="D58" s="3">
        <v>141975.18</v>
      </c>
      <c r="E58" s="3">
        <v>142463.01</v>
      </c>
      <c r="F58" s="3">
        <v>136365.51</v>
      </c>
    </row>
    <row r="59" spans="1:6" x14ac:dyDescent="0.2">
      <c r="A59" t="s">
        <v>5</v>
      </c>
      <c r="B59" t="s">
        <v>10</v>
      </c>
      <c r="C59" t="s">
        <v>28</v>
      </c>
      <c r="D59" s="3">
        <v>131293.19</v>
      </c>
      <c r="E59" s="3">
        <v>142463.01</v>
      </c>
      <c r="F59" s="3">
        <v>175400.1</v>
      </c>
    </row>
    <row r="60" spans="1:6" x14ac:dyDescent="0.2">
      <c r="A60" t="s">
        <v>5</v>
      </c>
      <c r="B60" t="s">
        <v>10</v>
      </c>
      <c r="C60" t="s">
        <v>29</v>
      </c>
      <c r="D60" s="3">
        <v>256063.65</v>
      </c>
      <c r="E60" s="3">
        <v>142463.01</v>
      </c>
      <c r="F60" s="3">
        <v>70344.63</v>
      </c>
    </row>
    <row r="61" spans="1:6" x14ac:dyDescent="0.2">
      <c r="A61" t="s">
        <v>5</v>
      </c>
      <c r="B61" t="s">
        <v>10</v>
      </c>
      <c r="C61" t="s">
        <v>30</v>
      </c>
      <c r="D61" s="3">
        <v>137768.37</v>
      </c>
      <c r="E61" s="3">
        <v>142463.01</v>
      </c>
      <c r="F61" s="3">
        <v>147152.95999999999</v>
      </c>
    </row>
    <row r="62" spans="1:6" x14ac:dyDescent="0.2">
      <c r="A62" t="s">
        <v>5</v>
      </c>
      <c r="B62" t="s">
        <v>10</v>
      </c>
      <c r="C62" t="s">
        <v>31</v>
      </c>
      <c r="D62" s="3">
        <v>144859.64000000001</v>
      </c>
      <c r="E62" s="3">
        <v>142463.01</v>
      </c>
      <c r="F62" s="3">
        <v>140073.76</v>
      </c>
    </row>
    <row r="63" spans="1:6" x14ac:dyDescent="0.2">
      <c r="A63" t="s">
        <v>5</v>
      </c>
      <c r="B63" t="s">
        <v>10</v>
      </c>
      <c r="C63" t="s">
        <v>32</v>
      </c>
      <c r="D63" s="3">
        <v>152737.16</v>
      </c>
      <c r="E63" s="3">
        <v>142463.01</v>
      </c>
      <c r="F63" s="3">
        <v>134069.66</v>
      </c>
    </row>
    <row r="64" spans="1:6" x14ac:dyDescent="0.2">
      <c r="A64" t="s">
        <v>5</v>
      </c>
      <c r="B64" t="s">
        <v>10</v>
      </c>
      <c r="C64" t="s">
        <v>33</v>
      </c>
      <c r="D64" s="3">
        <v>138492.79999999999</v>
      </c>
      <c r="E64" s="3">
        <v>142463.01</v>
      </c>
      <c r="F64" s="3">
        <v>153168.92000000001</v>
      </c>
    </row>
    <row r="65" spans="1:6" x14ac:dyDescent="0.2">
      <c r="A65" t="s">
        <v>5</v>
      </c>
      <c r="B65" t="s">
        <v>10</v>
      </c>
      <c r="C65" t="s">
        <v>34</v>
      </c>
      <c r="D65" s="3">
        <v>141447.18</v>
      </c>
      <c r="E65" s="3">
        <v>142463.01</v>
      </c>
      <c r="F65" s="3">
        <v>143582.6</v>
      </c>
    </row>
    <row r="66" spans="1:6" x14ac:dyDescent="0.2">
      <c r="A66" t="s">
        <v>5</v>
      </c>
      <c r="B66" t="s">
        <v>10</v>
      </c>
      <c r="C66" t="s">
        <v>35</v>
      </c>
      <c r="D66" s="3">
        <v>142471.12</v>
      </c>
      <c r="E66" s="3">
        <v>142463.01</v>
      </c>
      <c r="F66" s="3">
        <v>142470.31</v>
      </c>
    </row>
    <row r="67" spans="1:6" x14ac:dyDescent="0.2">
      <c r="A67" t="s">
        <v>5</v>
      </c>
      <c r="B67" t="s">
        <v>10</v>
      </c>
      <c r="C67" t="s">
        <v>36</v>
      </c>
      <c r="D67" s="3">
        <v>142470.29999999999</v>
      </c>
      <c r="E67" s="3">
        <v>142463.01</v>
      </c>
      <c r="F67" s="3">
        <v>142470.29999999999</v>
      </c>
    </row>
    <row r="68" spans="1:6" x14ac:dyDescent="0.2">
      <c r="A68" t="s">
        <v>5</v>
      </c>
      <c r="B68" t="s">
        <v>10</v>
      </c>
      <c r="C68" t="s">
        <v>37</v>
      </c>
      <c r="D68" s="3">
        <v>143522.34</v>
      </c>
      <c r="E68" s="3">
        <v>142463.01</v>
      </c>
      <c r="F68" s="3">
        <v>141891.25</v>
      </c>
    </row>
    <row r="69" spans="1:6" x14ac:dyDescent="0.2">
      <c r="A69" t="s">
        <v>5</v>
      </c>
      <c r="B69" t="s">
        <v>10</v>
      </c>
      <c r="C69" t="s">
        <v>38</v>
      </c>
      <c r="D69" s="3">
        <v>146811.48000000001</v>
      </c>
      <c r="E69" s="3">
        <v>142463.01</v>
      </c>
      <c r="F69" s="3">
        <v>141361.88</v>
      </c>
    </row>
    <row r="70" spans="1:6" x14ac:dyDescent="0.2">
      <c r="A70" t="s">
        <v>5</v>
      </c>
      <c r="B70" t="s">
        <v>16</v>
      </c>
      <c r="C70" t="s">
        <v>22</v>
      </c>
      <c r="D70" s="3">
        <v>101494.91</v>
      </c>
      <c r="E70" s="3">
        <v>128479.27</v>
      </c>
      <c r="F70" s="3">
        <v>155463.64000000001</v>
      </c>
    </row>
    <row r="71" spans="1:6" x14ac:dyDescent="0.2">
      <c r="A71" t="s">
        <v>5</v>
      </c>
      <c r="B71" t="s">
        <v>16</v>
      </c>
      <c r="C71" t="s">
        <v>23</v>
      </c>
      <c r="D71" s="3">
        <v>127770.56</v>
      </c>
      <c r="E71" s="3">
        <v>128479.27</v>
      </c>
      <c r="F71" s="3">
        <v>129542.34</v>
      </c>
    </row>
    <row r="72" spans="1:6" x14ac:dyDescent="0.2">
      <c r="A72" t="s">
        <v>5</v>
      </c>
      <c r="B72" t="s">
        <v>16</v>
      </c>
      <c r="C72" t="s">
        <v>24</v>
      </c>
      <c r="D72" s="3">
        <v>127433.55</v>
      </c>
      <c r="E72" s="3">
        <v>128479.27</v>
      </c>
      <c r="F72" s="3">
        <v>130832.14</v>
      </c>
    </row>
    <row r="73" spans="1:6" x14ac:dyDescent="0.2">
      <c r="A73" t="s">
        <v>5</v>
      </c>
      <c r="B73" t="s">
        <v>16</v>
      </c>
      <c r="C73" t="s">
        <v>25</v>
      </c>
      <c r="D73" s="3">
        <v>128479.27</v>
      </c>
      <c r="E73" s="3">
        <v>128479.27</v>
      </c>
      <c r="F73" s="3">
        <v>128479.27</v>
      </c>
    </row>
    <row r="74" spans="1:6" x14ac:dyDescent="0.2">
      <c r="A74" t="s">
        <v>5</v>
      </c>
      <c r="B74" t="s">
        <v>16</v>
      </c>
      <c r="C74" t="s">
        <v>26</v>
      </c>
      <c r="D74" s="3">
        <v>128479.27</v>
      </c>
      <c r="E74" s="3">
        <v>128479.27</v>
      </c>
      <c r="F74" s="3">
        <v>128479.27</v>
      </c>
    </row>
    <row r="75" spans="1:6" x14ac:dyDescent="0.2">
      <c r="A75" t="s">
        <v>5</v>
      </c>
      <c r="B75" t="s">
        <v>16</v>
      </c>
      <c r="C75" t="s">
        <v>27</v>
      </c>
      <c r="D75" s="3">
        <v>128479.27</v>
      </c>
      <c r="E75" s="3">
        <v>128479.27</v>
      </c>
      <c r="F75" s="3">
        <v>128479.27</v>
      </c>
    </row>
    <row r="76" spans="1:6" x14ac:dyDescent="0.2">
      <c r="A76" t="s">
        <v>5</v>
      </c>
      <c r="B76" t="s">
        <v>16</v>
      </c>
      <c r="C76" t="s">
        <v>28</v>
      </c>
      <c r="D76" s="3">
        <v>128247.1</v>
      </c>
      <c r="E76" s="3">
        <v>128479.27</v>
      </c>
      <c r="F76" s="3">
        <v>128952.41</v>
      </c>
    </row>
    <row r="77" spans="1:6" x14ac:dyDescent="0.2">
      <c r="A77" t="s">
        <v>5</v>
      </c>
      <c r="B77" t="s">
        <v>16</v>
      </c>
      <c r="C77" t="s">
        <v>29</v>
      </c>
      <c r="D77" s="3">
        <v>224191.89</v>
      </c>
      <c r="E77" s="3">
        <v>128479.27</v>
      </c>
      <c r="F77" s="3">
        <v>65557.399999999994</v>
      </c>
    </row>
    <row r="78" spans="1:6" x14ac:dyDescent="0.2">
      <c r="A78" t="s">
        <v>5</v>
      </c>
      <c r="B78" t="s">
        <v>16</v>
      </c>
      <c r="C78" t="s">
        <v>30</v>
      </c>
      <c r="D78" s="3">
        <v>128479.27</v>
      </c>
      <c r="E78" s="3">
        <v>128479.27</v>
      </c>
      <c r="F78" s="3">
        <v>128479.27</v>
      </c>
    </row>
    <row r="79" spans="1:6" x14ac:dyDescent="0.2">
      <c r="A79" t="s">
        <v>5</v>
      </c>
      <c r="B79" t="s">
        <v>16</v>
      </c>
      <c r="C79" t="s">
        <v>31</v>
      </c>
      <c r="D79" s="3">
        <v>128479.27</v>
      </c>
      <c r="E79" s="3">
        <v>128479.27</v>
      </c>
      <c r="F79" s="3">
        <v>128479.27</v>
      </c>
    </row>
    <row r="80" spans="1:6" x14ac:dyDescent="0.2">
      <c r="A80" t="s">
        <v>5</v>
      </c>
      <c r="B80" t="s">
        <v>16</v>
      </c>
      <c r="C80" t="s">
        <v>32</v>
      </c>
      <c r="D80" s="3">
        <v>128479.27</v>
      </c>
      <c r="E80" s="3">
        <v>128479.27</v>
      </c>
      <c r="F80" s="3">
        <v>128479.27</v>
      </c>
    </row>
    <row r="81" spans="1:6" x14ac:dyDescent="0.2">
      <c r="A81" t="s">
        <v>5</v>
      </c>
      <c r="B81" t="s">
        <v>16</v>
      </c>
      <c r="C81" t="s">
        <v>33</v>
      </c>
      <c r="D81" s="3">
        <v>128479.27</v>
      </c>
      <c r="E81" s="3">
        <v>128479.27</v>
      </c>
      <c r="F81" s="3">
        <v>128479.27</v>
      </c>
    </row>
    <row r="82" spans="1:6" x14ac:dyDescent="0.2">
      <c r="A82" t="s">
        <v>5</v>
      </c>
      <c r="B82" t="s">
        <v>16</v>
      </c>
      <c r="C82" t="s">
        <v>34</v>
      </c>
      <c r="D82" s="3">
        <v>128479.27</v>
      </c>
      <c r="E82" s="3">
        <v>128479.27</v>
      </c>
      <c r="F82" s="3">
        <v>128479.27</v>
      </c>
    </row>
    <row r="83" spans="1:6" x14ac:dyDescent="0.2">
      <c r="A83" t="s">
        <v>5</v>
      </c>
      <c r="B83" t="s">
        <v>16</v>
      </c>
      <c r="C83" t="s">
        <v>35</v>
      </c>
      <c r="D83" s="3">
        <v>128479.27</v>
      </c>
      <c r="E83" s="3">
        <v>128479.27</v>
      </c>
      <c r="F83" s="3">
        <v>128479.27</v>
      </c>
    </row>
    <row r="84" spans="1:6" x14ac:dyDescent="0.2">
      <c r="A84" t="s">
        <v>5</v>
      </c>
      <c r="B84" t="s">
        <v>16</v>
      </c>
      <c r="C84" t="s">
        <v>36</v>
      </c>
      <c r="D84" s="3">
        <v>128479.27</v>
      </c>
      <c r="E84" s="3">
        <v>128479.27</v>
      </c>
      <c r="F84" s="3">
        <v>128479.27</v>
      </c>
    </row>
    <row r="85" spans="1:6" x14ac:dyDescent="0.2">
      <c r="A85" t="s">
        <v>5</v>
      </c>
      <c r="B85" t="s">
        <v>16</v>
      </c>
      <c r="C85" t="s">
        <v>37</v>
      </c>
      <c r="D85" s="3">
        <v>128479.27</v>
      </c>
      <c r="E85" s="3">
        <v>128479.27</v>
      </c>
      <c r="F85" s="3">
        <v>128479.27</v>
      </c>
    </row>
    <row r="86" spans="1:6" x14ac:dyDescent="0.2">
      <c r="A86" t="s">
        <v>5</v>
      </c>
      <c r="B86" t="s">
        <v>16</v>
      </c>
      <c r="C86" t="s">
        <v>38</v>
      </c>
      <c r="D86" s="3">
        <v>128479.27</v>
      </c>
      <c r="E86" s="3">
        <v>128479.27</v>
      </c>
      <c r="F86" s="3">
        <v>128479.27</v>
      </c>
    </row>
    <row r="87" spans="1:6" x14ac:dyDescent="0.2">
      <c r="A87" t="s">
        <v>39</v>
      </c>
      <c r="B87" t="s">
        <v>16</v>
      </c>
      <c r="C87" t="s">
        <v>22</v>
      </c>
      <c r="D87" s="3">
        <v>67415.75</v>
      </c>
      <c r="E87" s="3">
        <v>84804.84</v>
      </c>
      <c r="F87" s="3">
        <v>102193.94</v>
      </c>
    </row>
    <row r="88" spans="1:6" x14ac:dyDescent="0.2">
      <c r="A88" t="s">
        <v>39</v>
      </c>
      <c r="B88" t="s">
        <v>16</v>
      </c>
      <c r="C88" t="s">
        <v>23</v>
      </c>
      <c r="D88" s="3">
        <v>84348.14</v>
      </c>
      <c r="E88" s="3">
        <v>84804.84</v>
      </c>
      <c r="F88" s="3">
        <v>85489.9</v>
      </c>
    </row>
    <row r="89" spans="1:6" x14ac:dyDescent="0.2">
      <c r="A89" t="s">
        <v>39</v>
      </c>
      <c r="B89" t="s">
        <v>16</v>
      </c>
      <c r="C89" t="s">
        <v>24</v>
      </c>
      <c r="D89" s="3">
        <v>84130.97</v>
      </c>
      <c r="E89" s="3">
        <v>84804.84</v>
      </c>
      <c r="F89" s="3">
        <v>86321.06</v>
      </c>
    </row>
    <row r="90" spans="1:6" x14ac:dyDescent="0.2">
      <c r="A90" t="s">
        <v>39</v>
      </c>
      <c r="B90" t="s">
        <v>16</v>
      </c>
      <c r="C90" t="s">
        <v>25</v>
      </c>
      <c r="D90" s="3">
        <v>84804.84</v>
      </c>
      <c r="E90" s="3">
        <v>84804.84</v>
      </c>
      <c r="F90" s="3">
        <v>84804.84</v>
      </c>
    </row>
    <row r="91" spans="1:6" x14ac:dyDescent="0.2">
      <c r="A91" t="s">
        <v>39</v>
      </c>
      <c r="B91" t="s">
        <v>16</v>
      </c>
      <c r="C91" t="s">
        <v>26</v>
      </c>
      <c r="D91" s="3">
        <v>84804.84</v>
      </c>
      <c r="E91" s="3">
        <v>84804.84</v>
      </c>
      <c r="F91" s="3">
        <v>84804.84</v>
      </c>
    </row>
    <row r="92" spans="1:6" x14ac:dyDescent="0.2">
      <c r="A92" t="s">
        <v>39</v>
      </c>
      <c r="B92" t="s">
        <v>16</v>
      </c>
      <c r="C92" t="s">
        <v>27</v>
      </c>
      <c r="D92" s="3">
        <v>84804.84</v>
      </c>
      <c r="E92" s="3">
        <v>84804.84</v>
      </c>
      <c r="F92" s="3">
        <v>84804.84</v>
      </c>
    </row>
    <row r="93" spans="1:6" x14ac:dyDescent="0.2">
      <c r="A93" t="s">
        <v>39</v>
      </c>
      <c r="B93" t="s">
        <v>16</v>
      </c>
      <c r="C93" t="s">
        <v>28</v>
      </c>
      <c r="D93" s="3">
        <v>84572.67</v>
      </c>
      <c r="E93" s="3">
        <v>84804.84</v>
      </c>
      <c r="F93" s="3">
        <v>85277.98</v>
      </c>
    </row>
    <row r="94" spans="1:6" x14ac:dyDescent="0.2">
      <c r="A94" t="s">
        <v>39</v>
      </c>
      <c r="B94" t="s">
        <v>16</v>
      </c>
      <c r="C94" t="s">
        <v>29</v>
      </c>
      <c r="D94" s="3">
        <v>148797.73000000001</v>
      </c>
      <c r="E94" s="3">
        <v>84804.84</v>
      </c>
      <c r="F94" s="3">
        <v>43275.72</v>
      </c>
    </row>
    <row r="95" spans="1:6" x14ac:dyDescent="0.2">
      <c r="A95" t="s">
        <v>39</v>
      </c>
      <c r="B95" t="s">
        <v>16</v>
      </c>
      <c r="C95" t="s">
        <v>30</v>
      </c>
      <c r="D95" s="3">
        <v>84804.84</v>
      </c>
      <c r="E95" s="3">
        <v>84804.84</v>
      </c>
      <c r="F95" s="3">
        <v>84804.84</v>
      </c>
    </row>
    <row r="96" spans="1:6" x14ac:dyDescent="0.2">
      <c r="A96" t="s">
        <v>39</v>
      </c>
      <c r="B96" t="s">
        <v>16</v>
      </c>
      <c r="C96" t="s">
        <v>31</v>
      </c>
      <c r="D96" s="3">
        <v>84804.84</v>
      </c>
      <c r="E96" s="3">
        <v>84804.84</v>
      </c>
      <c r="F96" s="3">
        <v>84804.84</v>
      </c>
    </row>
    <row r="97" spans="1:6" x14ac:dyDescent="0.2">
      <c r="A97" t="s">
        <v>39</v>
      </c>
      <c r="B97" t="s">
        <v>16</v>
      </c>
      <c r="C97" t="s">
        <v>32</v>
      </c>
      <c r="D97" s="3">
        <v>84804.84</v>
      </c>
      <c r="E97" s="3">
        <v>84804.84</v>
      </c>
      <c r="F97" s="3">
        <v>84804.84</v>
      </c>
    </row>
    <row r="98" spans="1:6" x14ac:dyDescent="0.2">
      <c r="A98" t="s">
        <v>39</v>
      </c>
      <c r="B98" t="s">
        <v>16</v>
      </c>
      <c r="C98" t="s">
        <v>33</v>
      </c>
      <c r="D98" s="3">
        <v>84804.84</v>
      </c>
      <c r="E98" s="3">
        <v>84804.84</v>
      </c>
      <c r="F98" s="3">
        <v>84804.84</v>
      </c>
    </row>
    <row r="99" spans="1:6" x14ac:dyDescent="0.2">
      <c r="A99" t="s">
        <v>39</v>
      </c>
      <c r="B99" t="s">
        <v>16</v>
      </c>
      <c r="C99" t="s">
        <v>34</v>
      </c>
      <c r="D99" s="3">
        <v>84804.84</v>
      </c>
      <c r="E99" s="3">
        <v>84804.84</v>
      </c>
      <c r="F99" s="3">
        <v>84804.84</v>
      </c>
    </row>
    <row r="100" spans="1:6" x14ac:dyDescent="0.2">
      <c r="A100" t="s">
        <v>39</v>
      </c>
      <c r="B100" t="s">
        <v>16</v>
      </c>
      <c r="C100" t="s">
        <v>35</v>
      </c>
      <c r="D100" s="3">
        <v>84804.84</v>
      </c>
      <c r="E100" s="3">
        <v>84804.84</v>
      </c>
      <c r="F100" s="3">
        <v>84804.84</v>
      </c>
    </row>
    <row r="101" spans="1:6" x14ac:dyDescent="0.2">
      <c r="A101" t="s">
        <v>39</v>
      </c>
      <c r="B101" t="s">
        <v>16</v>
      </c>
      <c r="C101" t="s">
        <v>36</v>
      </c>
      <c r="D101" s="3">
        <v>84804.84</v>
      </c>
      <c r="E101" s="3">
        <v>84804.84</v>
      </c>
      <c r="F101" s="3">
        <v>84804.84</v>
      </c>
    </row>
    <row r="102" spans="1:6" x14ac:dyDescent="0.2">
      <c r="A102" t="s">
        <v>39</v>
      </c>
      <c r="B102" t="s">
        <v>16</v>
      </c>
      <c r="C102" t="s">
        <v>37</v>
      </c>
      <c r="D102" s="3">
        <v>84804.84</v>
      </c>
      <c r="E102" s="3">
        <v>84804.84</v>
      </c>
      <c r="F102" s="3">
        <v>84804.84</v>
      </c>
    </row>
    <row r="103" spans="1:6" x14ac:dyDescent="0.2">
      <c r="A103" t="s">
        <v>39</v>
      </c>
      <c r="B103" t="s">
        <v>16</v>
      </c>
      <c r="C103" t="s">
        <v>38</v>
      </c>
      <c r="D103" s="3">
        <v>84804.84</v>
      </c>
      <c r="E103" s="3">
        <v>84804.84</v>
      </c>
      <c r="F103" s="3">
        <v>84804.84</v>
      </c>
    </row>
    <row r="104" spans="1:6" x14ac:dyDescent="0.2">
      <c r="A104" t="s">
        <v>39</v>
      </c>
      <c r="B104" t="s">
        <v>14</v>
      </c>
      <c r="C104" t="s">
        <v>22</v>
      </c>
      <c r="D104" s="3">
        <v>153512.95999999999</v>
      </c>
      <c r="E104" s="3">
        <v>153512.95999999999</v>
      </c>
      <c r="F104" s="3">
        <v>153512.95999999999</v>
      </c>
    </row>
    <row r="105" spans="1:6" x14ac:dyDescent="0.2">
      <c r="A105" t="s">
        <v>39</v>
      </c>
      <c r="B105" t="s">
        <v>14</v>
      </c>
      <c r="C105" t="s">
        <v>23</v>
      </c>
      <c r="D105" s="3">
        <v>153512.95999999999</v>
      </c>
      <c r="E105" s="3">
        <v>153512.95999999999</v>
      </c>
      <c r="F105" s="3">
        <v>153512.95999999999</v>
      </c>
    </row>
    <row r="106" spans="1:6" x14ac:dyDescent="0.2">
      <c r="A106" t="s">
        <v>39</v>
      </c>
      <c r="B106" t="s">
        <v>14</v>
      </c>
      <c r="C106" t="s">
        <v>24</v>
      </c>
      <c r="D106" s="3">
        <v>153512.95999999999</v>
      </c>
      <c r="E106" s="3">
        <v>153512.95999999999</v>
      </c>
      <c r="F106" s="3">
        <v>153512.95999999999</v>
      </c>
    </row>
    <row r="107" spans="1:6" x14ac:dyDescent="0.2">
      <c r="A107" t="s">
        <v>39</v>
      </c>
      <c r="B107" t="s">
        <v>14</v>
      </c>
      <c r="C107" t="s">
        <v>25</v>
      </c>
      <c r="D107" s="3">
        <v>153512.95999999999</v>
      </c>
      <c r="E107" s="3">
        <v>153512.95999999999</v>
      </c>
      <c r="F107" s="3">
        <v>153512.95999999999</v>
      </c>
    </row>
    <row r="108" spans="1:6" x14ac:dyDescent="0.2">
      <c r="A108" t="s">
        <v>39</v>
      </c>
      <c r="B108" t="s">
        <v>14</v>
      </c>
      <c r="C108" t="s">
        <v>26</v>
      </c>
      <c r="D108" s="3">
        <v>127003.71</v>
      </c>
      <c r="E108" s="3">
        <v>153512.95999999999</v>
      </c>
      <c r="F108" s="3">
        <v>177115.71</v>
      </c>
    </row>
    <row r="109" spans="1:6" x14ac:dyDescent="0.2">
      <c r="A109" t="s">
        <v>39</v>
      </c>
      <c r="B109" t="s">
        <v>14</v>
      </c>
      <c r="C109" t="s">
        <v>27</v>
      </c>
      <c r="D109" s="3">
        <v>153512.95999999999</v>
      </c>
      <c r="E109" s="3">
        <v>153512.95999999999</v>
      </c>
      <c r="F109" s="3">
        <v>153512.95999999999</v>
      </c>
    </row>
    <row r="110" spans="1:6" x14ac:dyDescent="0.2">
      <c r="A110" t="s">
        <v>39</v>
      </c>
      <c r="B110" t="s">
        <v>14</v>
      </c>
      <c r="C110" t="s">
        <v>28</v>
      </c>
      <c r="D110" s="3">
        <v>188778.84</v>
      </c>
      <c r="E110" s="3">
        <v>153512.95999999999</v>
      </c>
      <c r="F110" s="3">
        <v>96608.08</v>
      </c>
    </row>
    <row r="111" spans="1:6" x14ac:dyDescent="0.2">
      <c r="A111" t="s">
        <v>39</v>
      </c>
      <c r="B111" t="s">
        <v>14</v>
      </c>
      <c r="C111" t="s">
        <v>29</v>
      </c>
      <c r="D111" s="3">
        <v>314370.71999999997</v>
      </c>
      <c r="E111" s="3">
        <v>153512.95999999999</v>
      </c>
      <c r="F111" s="3">
        <v>83408.72</v>
      </c>
    </row>
    <row r="112" spans="1:6" x14ac:dyDescent="0.2">
      <c r="A112" t="s">
        <v>39</v>
      </c>
      <c r="B112" t="s">
        <v>14</v>
      </c>
      <c r="C112" t="s">
        <v>30</v>
      </c>
      <c r="D112" s="3">
        <v>153512.95999999999</v>
      </c>
      <c r="E112" s="3">
        <v>153512.95999999999</v>
      </c>
      <c r="F112" s="3">
        <v>153512.95999999999</v>
      </c>
    </row>
    <row r="113" spans="1:6" x14ac:dyDescent="0.2">
      <c r="A113" t="s">
        <v>39</v>
      </c>
      <c r="B113" t="s">
        <v>14</v>
      </c>
      <c r="C113" t="s">
        <v>31</v>
      </c>
      <c r="D113" s="3">
        <v>153512.95999999999</v>
      </c>
      <c r="E113" s="3">
        <v>153512.95999999999</v>
      </c>
      <c r="F113" s="3">
        <v>153512.95999999999</v>
      </c>
    </row>
    <row r="114" spans="1:6" x14ac:dyDescent="0.2">
      <c r="A114" t="s">
        <v>39</v>
      </c>
      <c r="B114" t="s">
        <v>14</v>
      </c>
      <c r="C114" t="s">
        <v>32</v>
      </c>
      <c r="D114" s="3">
        <v>153512.95999999999</v>
      </c>
      <c r="E114" s="3">
        <v>153512.95999999999</v>
      </c>
      <c r="F114" s="3">
        <v>153512.95999999999</v>
      </c>
    </row>
    <row r="115" spans="1:6" x14ac:dyDescent="0.2">
      <c r="A115" t="s">
        <v>39</v>
      </c>
      <c r="B115" t="s">
        <v>14</v>
      </c>
      <c r="C115" t="s">
        <v>33</v>
      </c>
      <c r="D115" s="3">
        <v>153512.95999999999</v>
      </c>
      <c r="E115" s="3">
        <v>153512.95999999999</v>
      </c>
      <c r="F115" s="3">
        <v>153512.95999999999</v>
      </c>
    </row>
    <row r="116" spans="1:6" x14ac:dyDescent="0.2">
      <c r="A116" t="s">
        <v>39</v>
      </c>
      <c r="B116" t="s">
        <v>14</v>
      </c>
      <c r="C116" t="s">
        <v>34</v>
      </c>
      <c r="D116" s="3">
        <v>153512.95999999999</v>
      </c>
      <c r="E116" s="3">
        <v>153512.95999999999</v>
      </c>
      <c r="F116" s="3">
        <v>153512.95999999999</v>
      </c>
    </row>
    <row r="117" spans="1:6" x14ac:dyDescent="0.2">
      <c r="A117" t="s">
        <v>39</v>
      </c>
      <c r="B117" t="s">
        <v>14</v>
      </c>
      <c r="C117" t="s">
        <v>35</v>
      </c>
      <c r="D117" s="3">
        <v>153512.95999999999</v>
      </c>
      <c r="E117" s="3">
        <v>153512.95999999999</v>
      </c>
      <c r="F117" s="3">
        <v>153512.95999999999</v>
      </c>
    </row>
    <row r="118" spans="1:6" x14ac:dyDescent="0.2">
      <c r="A118" t="s">
        <v>39</v>
      </c>
      <c r="B118" t="s">
        <v>14</v>
      </c>
      <c r="C118" t="s">
        <v>36</v>
      </c>
      <c r="D118" s="3">
        <v>150928.13</v>
      </c>
      <c r="E118" s="3">
        <v>153512.95999999999</v>
      </c>
      <c r="F118" s="3">
        <v>156114.41</v>
      </c>
    </row>
    <row r="119" spans="1:6" x14ac:dyDescent="0.2">
      <c r="A119" t="s">
        <v>39</v>
      </c>
      <c r="B119" t="s">
        <v>14</v>
      </c>
      <c r="C119" t="s">
        <v>37</v>
      </c>
      <c r="D119" s="3">
        <v>153512.95999999999</v>
      </c>
      <c r="E119" s="3">
        <v>153512.95999999999</v>
      </c>
      <c r="F119" s="3">
        <v>153512.95999999999</v>
      </c>
    </row>
    <row r="120" spans="1:6" x14ac:dyDescent="0.2">
      <c r="A120" t="s">
        <v>39</v>
      </c>
      <c r="B120" t="s">
        <v>14</v>
      </c>
      <c r="C120" t="s">
        <v>38</v>
      </c>
      <c r="D120" s="3">
        <v>153512.95999999999</v>
      </c>
      <c r="E120" s="3">
        <v>153512.95999999999</v>
      </c>
      <c r="F120" s="3">
        <v>153512.95999999999</v>
      </c>
    </row>
    <row r="121" spans="1:6" x14ac:dyDescent="0.2">
      <c r="A121" t="s">
        <v>39</v>
      </c>
      <c r="B121" t="s">
        <v>15</v>
      </c>
      <c r="C121" t="s">
        <v>22</v>
      </c>
      <c r="D121" s="3">
        <v>73176</v>
      </c>
      <c r="E121" s="3">
        <v>73176</v>
      </c>
      <c r="F121" s="3">
        <v>73176</v>
      </c>
    </row>
    <row r="122" spans="1:6" x14ac:dyDescent="0.2">
      <c r="A122" t="s">
        <v>39</v>
      </c>
      <c r="B122" t="s">
        <v>15</v>
      </c>
      <c r="C122" t="s">
        <v>23</v>
      </c>
      <c r="D122" s="3">
        <v>73176</v>
      </c>
      <c r="E122" s="3">
        <v>73176</v>
      </c>
      <c r="F122" s="3">
        <v>73176</v>
      </c>
    </row>
    <row r="123" spans="1:6" x14ac:dyDescent="0.2">
      <c r="A123" t="s">
        <v>39</v>
      </c>
      <c r="B123" t="s">
        <v>15</v>
      </c>
      <c r="C123" t="s">
        <v>24</v>
      </c>
      <c r="D123" s="3">
        <v>73176</v>
      </c>
      <c r="E123" s="3">
        <v>73176</v>
      </c>
      <c r="F123" s="3">
        <v>73176</v>
      </c>
    </row>
    <row r="124" spans="1:6" x14ac:dyDescent="0.2">
      <c r="A124" t="s">
        <v>39</v>
      </c>
      <c r="B124" t="s">
        <v>15</v>
      </c>
      <c r="C124" t="s">
        <v>25</v>
      </c>
      <c r="D124" s="3">
        <v>73176</v>
      </c>
      <c r="E124" s="3">
        <v>73176</v>
      </c>
      <c r="F124" s="3">
        <v>108067.27</v>
      </c>
    </row>
    <row r="125" spans="1:6" x14ac:dyDescent="0.2">
      <c r="A125" t="s">
        <v>39</v>
      </c>
      <c r="B125" t="s">
        <v>15</v>
      </c>
      <c r="C125" t="s">
        <v>26</v>
      </c>
      <c r="D125" s="3">
        <v>73176</v>
      </c>
      <c r="E125" s="3">
        <v>73176</v>
      </c>
      <c r="F125" s="3">
        <v>73176</v>
      </c>
    </row>
    <row r="126" spans="1:6" x14ac:dyDescent="0.2">
      <c r="A126" t="s">
        <v>39</v>
      </c>
      <c r="B126" t="s">
        <v>15</v>
      </c>
      <c r="C126" t="s">
        <v>27</v>
      </c>
      <c r="D126" s="3">
        <v>73930.84</v>
      </c>
      <c r="E126" s="3">
        <v>73176</v>
      </c>
      <c r="F126" s="3">
        <v>70131.179999999993</v>
      </c>
    </row>
    <row r="127" spans="1:6" x14ac:dyDescent="0.2">
      <c r="A127" t="s">
        <v>39</v>
      </c>
      <c r="B127" t="s">
        <v>15</v>
      </c>
      <c r="C127" t="s">
        <v>28</v>
      </c>
      <c r="D127" s="3">
        <v>70083.94</v>
      </c>
      <c r="E127" s="3">
        <v>73176</v>
      </c>
      <c r="F127" s="3">
        <v>81009.919999999998</v>
      </c>
    </row>
    <row r="128" spans="1:6" x14ac:dyDescent="0.2">
      <c r="A128" t="s">
        <v>39</v>
      </c>
      <c r="B128" t="s">
        <v>15</v>
      </c>
      <c r="C128" t="s">
        <v>29</v>
      </c>
      <c r="D128" s="3">
        <v>144324.28</v>
      </c>
      <c r="E128" s="3">
        <v>73176</v>
      </c>
      <c r="F128" s="3">
        <v>40839.599999999999</v>
      </c>
    </row>
    <row r="129" spans="1:6" x14ac:dyDescent="0.2">
      <c r="A129" t="s">
        <v>39</v>
      </c>
      <c r="B129" t="s">
        <v>15</v>
      </c>
      <c r="C129" t="s">
        <v>30</v>
      </c>
      <c r="D129" s="3">
        <v>71962.259999999995</v>
      </c>
      <c r="E129" s="3">
        <v>73176</v>
      </c>
      <c r="F129" s="3">
        <v>74389.73</v>
      </c>
    </row>
    <row r="130" spans="1:6" x14ac:dyDescent="0.2">
      <c r="A130" t="s">
        <v>39</v>
      </c>
      <c r="B130" t="s">
        <v>15</v>
      </c>
      <c r="C130" t="s">
        <v>31</v>
      </c>
      <c r="D130" s="3">
        <v>74125.42</v>
      </c>
      <c r="E130" s="3">
        <v>73176</v>
      </c>
      <c r="F130" s="3">
        <v>72276.98</v>
      </c>
    </row>
    <row r="131" spans="1:6" x14ac:dyDescent="0.2">
      <c r="A131" t="s">
        <v>39</v>
      </c>
      <c r="B131" t="s">
        <v>15</v>
      </c>
      <c r="C131" t="s">
        <v>32</v>
      </c>
      <c r="D131" s="3">
        <v>76814.81</v>
      </c>
      <c r="E131" s="3">
        <v>73176</v>
      </c>
      <c r="F131" s="3">
        <v>70156.740000000005</v>
      </c>
    </row>
    <row r="132" spans="1:6" x14ac:dyDescent="0.2">
      <c r="A132" t="s">
        <v>39</v>
      </c>
      <c r="B132" t="s">
        <v>15</v>
      </c>
      <c r="C132" t="s">
        <v>33</v>
      </c>
      <c r="D132" s="3">
        <v>73197.600000000006</v>
      </c>
      <c r="E132" s="3">
        <v>73176</v>
      </c>
      <c r="F132" s="3">
        <v>77170.28</v>
      </c>
    </row>
    <row r="133" spans="1:6" x14ac:dyDescent="0.2">
      <c r="A133" t="s">
        <v>39</v>
      </c>
      <c r="B133" t="s">
        <v>15</v>
      </c>
      <c r="C133" t="s">
        <v>34</v>
      </c>
      <c r="D133" s="3">
        <v>72687.58</v>
      </c>
      <c r="E133" s="3">
        <v>73176</v>
      </c>
      <c r="F133" s="3">
        <v>73743.320000000007</v>
      </c>
    </row>
    <row r="134" spans="1:6" x14ac:dyDescent="0.2">
      <c r="A134" t="s">
        <v>39</v>
      </c>
      <c r="B134" t="s">
        <v>15</v>
      </c>
      <c r="C134" t="s">
        <v>35</v>
      </c>
      <c r="D134" s="3">
        <v>73176</v>
      </c>
      <c r="E134" s="3">
        <v>73176</v>
      </c>
      <c r="F134" s="3">
        <v>73176</v>
      </c>
    </row>
    <row r="135" spans="1:6" x14ac:dyDescent="0.2">
      <c r="A135" t="s">
        <v>39</v>
      </c>
      <c r="B135" t="s">
        <v>15</v>
      </c>
      <c r="C135" t="s">
        <v>36</v>
      </c>
      <c r="D135" s="3">
        <v>71849.919999999998</v>
      </c>
      <c r="E135" s="3">
        <v>73176</v>
      </c>
      <c r="F135" s="3">
        <v>74510.559999999998</v>
      </c>
    </row>
    <row r="136" spans="1:6" x14ac:dyDescent="0.2">
      <c r="A136" t="s">
        <v>39</v>
      </c>
      <c r="B136" t="s">
        <v>15</v>
      </c>
      <c r="C136" t="s">
        <v>37</v>
      </c>
      <c r="D136" s="3">
        <v>73176</v>
      </c>
      <c r="E136" s="3">
        <v>73176</v>
      </c>
      <c r="F136" s="3">
        <v>73176</v>
      </c>
    </row>
    <row r="137" spans="1:6" x14ac:dyDescent="0.2">
      <c r="A137" t="s">
        <v>39</v>
      </c>
      <c r="B137" t="s">
        <v>15</v>
      </c>
      <c r="C137" t="s">
        <v>38</v>
      </c>
      <c r="D137" s="3">
        <v>73176</v>
      </c>
      <c r="E137" s="3">
        <v>73176</v>
      </c>
      <c r="F137" s="3">
        <v>73176</v>
      </c>
    </row>
    <row r="138" spans="1:6" x14ac:dyDescent="0.2">
      <c r="A138" t="s">
        <v>39</v>
      </c>
      <c r="B138" t="s">
        <v>10</v>
      </c>
      <c r="C138" t="s">
        <v>22</v>
      </c>
      <c r="D138" s="3">
        <v>68110.16</v>
      </c>
      <c r="E138" s="3">
        <v>68110.070000000007</v>
      </c>
      <c r="F138" s="3">
        <v>68110.070000000007</v>
      </c>
    </row>
    <row r="139" spans="1:6" x14ac:dyDescent="0.2">
      <c r="A139" t="s">
        <v>39</v>
      </c>
      <c r="B139" t="s">
        <v>10</v>
      </c>
      <c r="C139" t="s">
        <v>23</v>
      </c>
      <c r="D139" s="3">
        <v>68110.070000000007</v>
      </c>
      <c r="E139" s="3">
        <v>68110.070000000007</v>
      </c>
      <c r="F139" s="3">
        <v>68110.070000000007</v>
      </c>
    </row>
    <row r="140" spans="1:6" x14ac:dyDescent="0.2">
      <c r="A140" t="s">
        <v>39</v>
      </c>
      <c r="B140" t="s">
        <v>10</v>
      </c>
      <c r="C140" t="s">
        <v>24</v>
      </c>
      <c r="D140" s="3">
        <v>68110.070000000007</v>
      </c>
      <c r="E140" s="3">
        <v>68110.070000000007</v>
      </c>
      <c r="F140" s="3">
        <v>68110.070000000007</v>
      </c>
    </row>
    <row r="141" spans="1:6" x14ac:dyDescent="0.2">
      <c r="A141" t="s">
        <v>39</v>
      </c>
      <c r="B141" t="s">
        <v>10</v>
      </c>
      <c r="C141" t="s">
        <v>25</v>
      </c>
      <c r="D141" s="3">
        <v>63051.65</v>
      </c>
      <c r="E141" s="3">
        <v>68110.070000000007</v>
      </c>
      <c r="F141" s="3">
        <v>93709.45</v>
      </c>
    </row>
    <row r="142" spans="1:6" x14ac:dyDescent="0.2">
      <c r="A142" t="s">
        <v>39</v>
      </c>
      <c r="B142" t="s">
        <v>10</v>
      </c>
      <c r="C142" t="s">
        <v>26</v>
      </c>
      <c r="D142" s="3">
        <v>68098.86</v>
      </c>
      <c r="E142" s="3">
        <v>68110.070000000007</v>
      </c>
      <c r="F142" s="3">
        <v>68110.11</v>
      </c>
    </row>
    <row r="143" spans="1:6" x14ac:dyDescent="0.2">
      <c r="A143" t="s">
        <v>39</v>
      </c>
      <c r="B143" t="s">
        <v>10</v>
      </c>
      <c r="C143" t="s">
        <v>27</v>
      </c>
      <c r="D143" s="3">
        <v>69397.320000000007</v>
      </c>
      <c r="E143" s="3">
        <v>68110.070000000007</v>
      </c>
      <c r="F143" s="3">
        <v>65727.899999999994</v>
      </c>
    </row>
    <row r="144" spans="1:6" x14ac:dyDescent="0.2">
      <c r="A144" t="s">
        <v>39</v>
      </c>
      <c r="B144" t="s">
        <v>10</v>
      </c>
      <c r="C144" t="s">
        <v>28</v>
      </c>
      <c r="D144" s="3">
        <v>64604.08</v>
      </c>
      <c r="E144" s="3">
        <v>68110.070000000007</v>
      </c>
      <c r="F144" s="3">
        <v>77007.33</v>
      </c>
    </row>
    <row r="145" spans="1:6" x14ac:dyDescent="0.2">
      <c r="A145" t="s">
        <v>39</v>
      </c>
      <c r="B145" t="s">
        <v>10</v>
      </c>
      <c r="C145" t="s">
        <v>29</v>
      </c>
      <c r="D145" s="3">
        <v>137041.56</v>
      </c>
      <c r="E145" s="3">
        <v>68110.070000000007</v>
      </c>
      <c r="F145" s="3">
        <v>34646.870000000003</v>
      </c>
    </row>
    <row r="146" spans="1:6" x14ac:dyDescent="0.2">
      <c r="A146" t="s">
        <v>39</v>
      </c>
      <c r="B146" t="s">
        <v>10</v>
      </c>
      <c r="C146" t="s">
        <v>30</v>
      </c>
      <c r="D146" s="3">
        <v>65737.48</v>
      </c>
      <c r="E146" s="3">
        <v>68110.070000000007</v>
      </c>
      <c r="F146" s="3">
        <v>70499.59</v>
      </c>
    </row>
    <row r="147" spans="1:6" x14ac:dyDescent="0.2">
      <c r="A147" t="s">
        <v>39</v>
      </c>
      <c r="B147" t="s">
        <v>10</v>
      </c>
      <c r="C147" t="s">
        <v>31</v>
      </c>
      <c r="D147" s="3">
        <v>69167.44</v>
      </c>
      <c r="E147" s="3">
        <v>68110.070000000007</v>
      </c>
      <c r="F147" s="3">
        <v>67108.34</v>
      </c>
    </row>
    <row r="148" spans="1:6" x14ac:dyDescent="0.2">
      <c r="A148" t="s">
        <v>39</v>
      </c>
      <c r="B148" t="s">
        <v>10</v>
      </c>
      <c r="C148" t="s">
        <v>32</v>
      </c>
      <c r="D148" s="3">
        <v>72201.17</v>
      </c>
      <c r="E148" s="3">
        <v>68110.070000000007</v>
      </c>
      <c r="F148" s="3">
        <v>64781.11</v>
      </c>
    </row>
    <row r="149" spans="1:6" x14ac:dyDescent="0.2">
      <c r="A149" t="s">
        <v>39</v>
      </c>
      <c r="B149" t="s">
        <v>10</v>
      </c>
      <c r="C149" t="s">
        <v>33</v>
      </c>
      <c r="D149" s="3">
        <v>67818.14</v>
      </c>
      <c r="E149" s="3">
        <v>68110.070000000007</v>
      </c>
      <c r="F149" s="3">
        <v>72794.64</v>
      </c>
    </row>
    <row r="150" spans="1:6" x14ac:dyDescent="0.2">
      <c r="A150" t="s">
        <v>39</v>
      </c>
      <c r="B150" t="s">
        <v>10</v>
      </c>
      <c r="C150" t="s">
        <v>34</v>
      </c>
      <c r="D150" s="3">
        <v>67700.37</v>
      </c>
      <c r="E150" s="3">
        <v>68110.070000000007</v>
      </c>
      <c r="F150" s="3">
        <v>68667.320000000007</v>
      </c>
    </row>
    <row r="151" spans="1:6" x14ac:dyDescent="0.2">
      <c r="A151" t="s">
        <v>39</v>
      </c>
      <c r="B151" t="s">
        <v>10</v>
      </c>
      <c r="C151" t="s">
        <v>35</v>
      </c>
      <c r="D151" s="3">
        <v>68111.649999999994</v>
      </c>
      <c r="E151" s="3">
        <v>68110.070000000007</v>
      </c>
      <c r="F151" s="3">
        <v>68110.070000000007</v>
      </c>
    </row>
    <row r="152" spans="1:6" x14ac:dyDescent="0.2">
      <c r="A152" t="s">
        <v>39</v>
      </c>
      <c r="B152" t="s">
        <v>10</v>
      </c>
      <c r="C152" t="s">
        <v>36</v>
      </c>
      <c r="D152" s="3">
        <v>68110.070000000007</v>
      </c>
      <c r="E152" s="3">
        <v>68110.070000000007</v>
      </c>
      <c r="F152" s="3">
        <v>68110.070000000007</v>
      </c>
    </row>
    <row r="153" spans="1:6" x14ac:dyDescent="0.2">
      <c r="A153" t="s">
        <v>39</v>
      </c>
      <c r="B153" t="s">
        <v>10</v>
      </c>
      <c r="C153" t="s">
        <v>37</v>
      </c>
      <c r="D153" s="3">
        <v>68686.91</v>
      </c>
      <c r="E153" s="3">
        <v>68110.070000000007</v>
      </c>
      <c r="F153" s="3">
        <v>67793.63</v>
      </c>
    </row>
    <row r="154" spans="1:6" x14ac:dyDescent="0.2">
      <c r="A154" t="s">
        <v>39</v>
      </c>
      <c r="B154" t="s">
        <v>10</v>
      </c>
      <c r="C154" t="s">
        <v>38</v>
      </c>
      <c r="D154" s="3">
        <v>69959.600000000006</v>
      </c>
      <c r="E154" s="3">
        <v>68110.070000000007</v>
      </c>
      <c r="F154" s="3">
        <v>67313.240000000005</v>
      </c>
    </row>
    <row r="155" spans="1:6" x14ac:dyDescent="0.2">
      <c r="A155" t="s">
        <v>39</v>
      </c>
      <c r="B155" t="s">
        <v>9</v>
      </c>
      <c r="C155" t="s">
        <v>22</v>
      </c>
      <c r="D155" s="3">
        <v>74105.350000000006</v>
      </c>
      <c r="E155" s="3">
        <v>74105.350000000006</v>
      </c>
      <c r="F155" s="3">
        <v>74105.350000000006</v>
      </c>
    </row>
    <row r="156" spans="1:6" x14ac:dyDescent="0.2">
      <c r="A156" t="s">
        <v>39</v>
      </c>
      <c r="B156" t="s">
        <v>9</v>
      </c>
      <c r="C156" t="s">
        <v>23</v>
      </c>
      <c r="D156" s="3">
        <v>74105.350000000006</v>
      </c>
      <c r="E156" s="3">
        <v>74105.350000000006</v>
      </c>
      <c r="F156" s="3">
        <v>74105.350000000006</v>
      </c>
    </row>
    <row r="157" spans="1:6" x14ac:dyDescent="0.2">
      <c r="A157" t="s">
        <v>39</v>
      </c>
      <c r="B157" t="s">
        <v>9</v>
      </c>
      <c r="C157" t="s">
        <v>24</v>
      </c>
      <c r="D157" s="3">
        <v>74105.350000000006</v>
      </c>
      <c r="E157" s="3">
        <v>74105.350000000006</v>
      </c>
      <c r="F157" s="3">
        <v>74105.350000000006</v>
      </c>
    </row>
    <row r="158" spans="1:6" x14ac:dyDescent="0.2">
      <c r="A158" t="s">
        <v>39</v>
      </c>
      <c r="B158" t="s">
        <v>9</v>
      </c>
      <c r="C158" t="s">
        <v>25</v>
      </c>
      <c r="D158" s="3">
        <v>70019.12</v>
      </c>
      <c r="E158" s="3">
        <v>74105.350000000006</v>
      </c>
      <c r="F158" s="3">
        <v>94536.49</v>
      </c>
    </row>
    <row r="159" spans="1:6" x14ac:dyDescent="0.2">
      <c r="A159" t="s">
        <v>39</v>
      </c>
      <c r="B159" t="s">
        <v>9</v>
      </c>
      <c r="C159" t="s">
        <v>26</v>
      </c>
      <c r="D159" s="3">
        <v>74105.350000000006</v>
      </c>
      <c r="E159" s="3">
        <v>74105.350000000006</v>
      </c>
      <c r="F159" s="3">
        <v>74105.350000000006</v>
      </c>
    </row>
    <row r="160" spans="1:6" x14ac:dyDescent="0.2">
      <c r="A160" t="s">
        <v>39</v>
      </c>
      <c r="B160" t="s">
        <v>9</v>
      </c>
      <c r="C160" t="s">
        <v>27</v>
      </c>
      <c r="D160" s="3">
        <v>75512.45</v>
      </c>
      <c r="E160" s="3">
        <v>74105.350000000006</v>
      </c>
      <c r="F160" s="3">
        <v>71563.37</v>
      </c>
    </row>
    <row r="161" spans="1:6" x14ac:dyDescent="0.2">
      <c r="A161" t="s">
        <v>39</v>
      </c>
      <c r="B161" t="s">
        <v>9</v>
      </c>
      <c r="C161" t="s">
        <v>28</v>
      </c>
      <c r="D161" s="3">
        <v>69565.98</v>
      </c>
      <c r="E161" s="3">
        <v>74105.350000000006</v>
      </c>
      <c r="F161" s="3">
        <v>85605.61</v>
      </c>
    </row>
    <row r="162" spans="1:6" x14ac:dyDescent="0.2">
      <c r="A162" t="s">
        <v>39</v>
      </c>
      <c r="B162" t="s">
        <v>9</v>
      </c>
      <c r="C162" t="s">
        <v>29</v>
      </c>
      <c r="D162" s="3">
        <v>123502.05</v>
      </c>
      <c r="E162" s="3">
        <v>74105.350000000006</v>
      </c>
      <c r="F162" s="3">
        <v>35345.79</v>
      </c>
    </row>
    <row r="163" spans="1:6" x14ac:dyDescent="0.2">
      <c r="A163" t="s">
        <v>39</v>
      </c>
      <c r="B163" t="s">
        <v>9</v>
      </c>
      <c r="C163" t="s">
        <v>30</v>
      </c>
      <c r="D163" s="3">
        <v>71727.820000000007</v>
      </c>
      <c r="E163" s="3">
        <v>74105.350000000006</v>
      </c>
      <c r="F163" s="3">
        <v>76463.460000000006</v>
      </c>
    </row>
    <row r="164" spans="1:6" x14ac:dyDescent="0.2">
      <c r="A164" t="s">
        <v>39</v>
      </c>
      <c r="B164" t="s">
        <v>9</v>
      </c>
      <c r="C164" t="s">
        <v>31</v>
      </c>
      <c r="D164" s="3">
        <v>75437.69</v>
      </c>
      <c r="E164" s="3">
        <v>74105.350000000006</v>
      </c>
      <c r="F164" s="3">
        <v>72841.63</v>
      </c>
    </row>
    <row r="165" spans="1:6" x14ac:dyDescent="0.2">
      <c r="A165" t="s">
        <v>39</v>
      </c>
      <c r="B165" t="s">
        <v>9</v>
      </c>
      <c r="C165" t="s">
        <v>32</v>
      </c>
      <c r="D165" s="3">
        <v>79307.839999999997</v>
      </c>
      <c r="E165" s="3">
        <v>74105.350000000006</v>
      </c>
      <c r="F165" s="3">
        <v>69786.539999999994</v>
      </c>
    </row>
    <row r="166" spans="1:6" x14ac:dyDescent="0.2">
      <c r="A166" t="s">
        <v>39</v>
      </c>
      <c r="B166" t="s">
        <v>9</v>
      </c>
      <c r="C166" t="s">
        <v>33</v>
      </c>
      <c r="D166" s="3">
        <v>71121.25</v>
      </c>
      <c r="E166" s="3">
        <v>74105.350000000006</v>
      </c>
      <c r="F166" s="3">
        <v>82517.100000000006</v>
      </c>
    </row>
    <row r="167" spans="1:6" x14ac:dyDescent="0.2">
      <c r="A167" t="s">
        <v>39</v>
      </c>
      <c r="B167" t="s">
        <v>9</v>
      </c>
      <c r="C167" t="s">
        <v>34</v>
      </c>
      <c r="D167" s="3">
        <v>73677.039999999994</v>
      </c>
      <c r="E167" s="3">
        <v>74105.350000000006</v>
      </c>
      <c r="F167" s="3">
        <v>74647.78</v>
      </c>
    </row>
    <row r="168" spans="1:6" x14ac:dyDescent="0.2">
      <c r="A168" t="s">
        <v>39</v>
      </c>
      <c r="B168" t="s">
        <v>9</v>
      </c>
      <c r="C168" t="s">
        <v>35</v>
      </c>
      <c r="D168" s="3">
        <v>74203.72</v>
      </c>
      <c r="E168" s="3">
        <v>74105.350000000006</v>
      </c>
      <c r="F168" s="3">
        <v>74213.3</v>
      </c>
    </row>
    <row r="169" spans="1:6" x14ac:dyDescent="0.2">
      <c r="A169" t="s">
        <v>39</v>
      </c>
      <c r="B169" t="s">
        <v>9</v>
      </c>
      <c r="C169" t="s">
        <v>36</v>
      </c>
      <c r="D169" s="3">
        <v>74105.350000000006</v>
      </c>
      <c r="E169" s="3">
        <v>74105.350000000006</v>
      </c>
      <c r="F169" s="3">
        <v>74105.350000000006</v>
      </c>
    </row>
    <row r="170" spans="1:6" x14ac:dyDescent="0.2">
      <c r="A170" t="s">
        <v>39</v>
      </c>
      <c r="B170" t="s">
        <v>9</v>
      </c>
      <c r="C170" t="s">
        <v>37</v>
      </c>
      <c r="D170" s="3">
        <v>75936.710000000006</v>
      </c>
      <c r="E170" s="3">
        <v>74105.350000000006</v>
      </c>
      <c r="F170" s="3">
        <v>72596.55</v>
      </c>
    </row>
    <row r="171" spans="1:6" x14ac:dyDescent="0.2">
      <c r="A171" t="s">
        <v>39</v>
      </c>
      <c r="B171" t="s">
        <v>9</v>
      </c>
      <c r="C171" t="s">
        <v>38</v>
      </c>
      <c r="D171" s="3">
        <v>74105.350000000006</v>
      </c>
      <c r="E171" s="3">
        <v>74105.350000000006</v>
      </c>
      <c r="F171" s="3">
        <v>74105.350000000006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6FF2-F109-9E48-80D6-DDCAB6978C97}">
  <dimension ref="A1:C37"/>
  <sheetViews>
    <sheetView workbookViewId="0">
      <selection activeCell="B5" sqref="B5"/>
    </sheetView>
  </sheetViews>
  <sheetFormatPr baseColWidth="10" defaultRowHeight="16" x14ac:dyDescent="0.2"/>
  <cols>
    <col min="2" max="2" width="30.6640625" bestFit="1" customWidth="1"/>
    <col min="3" max="3" width="10.83203125" style="3"/>
  </cols>
  <sheetData>
    <row r="1" spans="1:3" x14ac:dyDescent="0.2">
      <c r="A1" t="s">
        <v>4</v>
      </c>
      <c r="B1" t="s">
        <v>18</v>
      </c>
      <c r="C1" s="3" t="s">
        <v>1</v>
      </c>
    </row>
    <row r="2" spans="1:3" x14ac:dyDescent="0.2">
      <c r="A2" t="s">
        <v>5</v>
      </c>
      <c r="B2" t="s">
        <v>56</v>
      </c>
      <c r="C2" s="3">
        <v>60.99</v>
      </c>
    </row>
    <row r="3" spans="1:3" x14ac:dyDescent="0.2">
      <c r="A3" t="s">
        <v>5</v>
      </c>
      <c r="B3" t="s">
        <v>54</v>
      </c>
      <c r="C3" s="3">
        <v>186</v>
      </c>
    </row>
    <row r="4" spans="1:3" x14ac:dyDescent="0.2">
      <c r="A4" t="s">
        <v>5</v>
      </c>
      <c r="B4" t="s">
        <v>47</v>
      </c>
      <c r="C4" s="3">
        <v>3000</v>
      </c>
    </row>
    <row r="5" spans="1:3" x14ac:dyDescent="0.2">
      <c r="A5" t="s">
        <v>5</v>
      </c>
      <c r="B5" t="s">
        <v>48</v>
      </c>
      <c r="C5" s="3">
        <v>500</v>
      </c>
    </row>
    <row r="6" spans="1:3" x14ac:dyDescent="0.2">
      <c r="A6" t="s">
        <v>5</v>
      </c>
      <c r="B6" t="s">
        <v>55</v>
      </c>
      <c r="C6" s="3">
        <v>500</v>
      </c>
    </row>
    <row r="7" spans="1:3" x14ac:dyDescent="0.2">
      <c r="A7" t="s">
        <v>5</v>
      </c>
      <c r="B7" t="s">
        <v>49</v>
      </c>
      <c r="C7" s="3">
        <v>0.85</v>
      </c>
    </row>
    <row r="8" spans="1:3" x14ac:dyDescent="0.2">
      <c r="A8" t="s">
        <v>39</v>
      </c>
      <c r="B8" t="s">
        <v>56</v>
      </c>
      <c r="C8" s="3">
        <v>37.11</v>
      </c>
    </row>
    <row r="9" spans="1:3" x14ac:dyDescent="0.2">
      <c r="A9" t="s">
        <v>39</v>
      </c>
      <c r="B9" t="s">
        <v>54</v>
      </c>
      <c r="C9" s="3">
        <v>1810</v>
      </c>
    </row>
    <row r="10" spans="1:3" x14ac:dyDescent="0.2">
      <c r="A10" t="s">
        <v>39</v>
      </c>
      <c r="B10" t="s">
        <v>47</v>
      </c>
      <c r="C10" s="3">
        <v>13156</v>
      </c>
    </row>
    <row r="11" spans="1:3" x14ac:dyDescent="0.2">
      <c r="A11" t="s">
        <v>39</v>
      </c>
      <c r="B11" t="s">
        <v>48</v>
      </c>
      <c r="C11" s="3">
        <v>500</v>
      </c>
    </row>
    <row r="12" spans="1:3" x14ac:dyDescent="0.2">
      <c r="A12" t="s">
        <v>39</v>
      </c>
      <c r="B12" t="s">
        <v>55</v>
      </c>
      <c r="C12" s="3">
        <v>1000</v>
      </c>
    </row>
    <row r="13" spans="1:3" x14ac:dyDescent="0.2">
      <c r="A13" t="s">
        <v>39</v>
      </c>
      <c r="B13" t="s">
        <v>49</v>
      </c>
      <c r="C13" s="3">
        <v>0.1</v>
      </c>
    </row>
    <row r="14" spans="1:3" x14ac:dyDescent="0.2">
      <c r="A14" t="s">
        <v>50</v>
      </c>
      <c r="B14" t="s">
        <v>56</v>
      </c>
      <c r="C14" s="3">
        <v>63.5</v>
      </c>
    </row>
    <row r="15" spans="1:3" x14ac:dyDescent="0.2">
      <c r="A15" t="s">
        <v>50</v>
      </c>
      <c r="B15" t="s">
        <v>54</v>
      </c>
      <c r="C15" s="5">
        <v>696</v>
      </c>
    </row>
    <row r="16" spans="1:3" x14ac:dyDescent="0.2">
      <c r="A16" t="s">
        <v>50</v>
      </c>
      <c r="B16" t="s">
        <v>47</v>
      </c>
      <c r="C16" s="5">
        <v>9444</v>
      </c>
    </row>
    <row r="17" spans="1:3" x14ac:dyDescent="0.2">
      <c r="A17" t="s">
        <v>50</v>
      </c>
      <c r="B17" t="s">
        <v>48</v>
      </c>
      <c r="C17" s="5">
        <v>500</v>
      </c>
    </row>
    <row r="18" spans="1:3" x14ac:dyDescent="0.2">
      <c r="A18" t="s">
        <v>50</v>
      </c>
      <c r="B18" t="s">
        <v>55</v>
      </c>
      <c r="C18" s="5">
        <v>1500</v>
      </c>
    </row>
    <row r="19" spans="1:3" x14ac:dyDescent="0.2">
      <c r="A19" t="s">
        <v>50</v>
      </c>
      <c r="B19" t="s">
        <v>49</v>
      </c>
      <c r="C19" s="5">
        <v>0.2</v>
      </c>
    </row>
    <row r="20" spans="1:3" x14ac:dyDescent="0.2">
      <c r="A20" t="s">
        <v>52</v>
      </c>
      <c r="B20" t="s">
        <v>56</v>
      </c>
      <c r="C20" s="6">
        <v>36.299999999999997</v>
      </c>
    </row>
    <row r="21" spans="1:3" x14ac:dyDescent="0.2">
      <c r="A21" t="s">
        <v>52</v>
      </c>
      <c r="B21" t="s">
        <v>54</v>
      </c>
      <c r="C21" s="6">
        <v>3467</v>
      </c>
    </row>
    <row r="22" spans="1:3" x14ac:dyDescent="0.2">
      <c r="A22" t="s">
        <v>52</v>
      </c>
      <c r="B22" t="s">
        <v>47</v>
      </c>
      <c r="C22" s="6">
        <v>6095</v>
      </c>
    </row>
    <row r="23" spans="1:3" x14ac:dyDescent="0.2">
      <c r="A23" t="s">
        <v>52</v>
      </c>
      <c r="B23" t="s">
        <v>48</v>
      </c>
      <c r="C23" s="6">
        <v>100</v>
      </c>
    </row>
    <row r="24" spans="1:3" x14ac:dyDescent="0.2">
      <c r="A24" t="s">
        <v>52</v>
      </c>
      <c r="B24" t="s">
        <v>55</v>
      </c>
      <c r="C24" s="6">
        <v>50</v>
      </c>
    </row>
    <row r="25" spans="1:3" x14ac:dyDescent="0.2">
      <c r="A25" t="s">
        <v>52</v>
      </c>
      <c r="B25" t="s">
        <v>49</v>
      </c>
      <c r="C25" s="6">
        <v>0</v>
      </c>
    </row>
    <row r="26" spans="1:3" x14ac:dyDescent="0.2">
      <c r="A26" t="s">
        <v>51</v>
      </c>
      <c r="B26" t="s">
        <v>56</v>
      </c>
      <c r="C26" s="3">
        <v>48.8</v>
      </c>
    </row>
    <row r="27" spans="1:3" x14ac:dyDescent="0.2">
      <c r="A27" t="s">
        <v>51</v>
      </c>
      <c r="B27" t="s">
        <v>54</v>
      </c>
      <c r="C27" s="3">
        <v>1407</v>
      </c>
    </row>
    <row r="28" spans="1:3" x14ac:dyDescent="0.2">
      <c r="A28" t="s">
        <v>51</v>
      </c>
      <c r="B28" t="s">
        <v>47</v>
      </c>
      <c r="C28" s="3">
        <v>15066</v>
      </c>
    </row>
    <row r="29" spans="1:3" x14ac:dyDescent="0.2">
      <c r="A29" t="s">
        <v>51</v>
      </c>
      <c r="B29" t="s">
        <v>48</v>
      </c>
      <c r="C29" s="3">
        <v>1000</v>
      </c>
    </row>
    <row r="30" spans="1:3" x14ac:dyDescent="0.2">
      <c r="A30" t="s">
        <v>51</v>
      </c>
      <c r="B30" t="s">
        <v>55</v>
      </c>
      <c r="C30" s="3">
        <v>6000</v>
      </c>
    </row>
    <row r="31" spans="1:3" x14ac:dyDescent="0.2">
      <c r="A31" t="s">
        <v>51</v>
      </c>
      <c r="B31" t="s">
        <v>49</v>
      </c>
      <c r="C31" s="3">
        <v>0.05</v>
      </c>
    </row>
    <row r="32" spans="1:3" x14ac:dyDescent="0.2">
      <c r="A32" t="s">
        <v>53</v>
      </c>
      <c r="B32" t="s">
        <v>56</v>
      </c>
      <c r="C32" s="3">
        <v>59.88</v>
      </c>
    </row>
    <row r="33" spans="1:3" x14ac:dyDescent="0.2">
      <c r="A33" t="s">
        <v>53</v>
      </c>
      <c r="B33" t="s">
        <v>54</v>
      </c>
      <c r="C33" s="3">
        <v>396</v>
      </c>
    </row>
    <row r="34" spans="1:3" x14ac:dyDescent="0.2">
      <c r="A34" t="s">
        <v>53</v>
      </c>
      <c r="B34" t="s">
        <v>47</v>
      </c>
      <c r="C34" s="3">
        <v>5679</v>
      </c>
    </row>
    <row r="35" spans="1:3" x14ac:dyDescent="0.2">
      <c r="A35" t="s">
        <v>53</v>
      </c>
      <c r="B35" t="s">
        <v>48</v>
      </c>
      <c r="C35" s="3">
        <v>100</v>
      </c>
    </row>
    <row r="36" spans="1:3" x14ac:dyDescent="0.2">
      <c r="A36" t="s">
        <v>53</v>
      </c>
      <c r="B36" t="s">
        <v>55</v>
      </c>
      <c r="C36" s="3">
        <v>700</v>
      </c>
    </row>
    <row r="37" spans="1:3" x14ac:dyDescent="0.2">
      <c r="A37" t="s">
        <v>53</v>
      </c>
      <c r="B37" t="s">
        <v>49</v>
      </c>
      <c r="C37" s="3">
        <v>0.8</v>
      </c>
    </row>
  </sheetData>
  <autoFilter ref="A1:C25" xr:uid="{3A5B6FF2-F109-9E48-80D6-DDCAB6978C9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F7682-6777-AF40-9C7C-FFC0ACC3EED6}">
  <dimension ref="A1:D7"/>
  <sheetViews>
    <sheetView workbookViewId="0">
      <selection activeCell="D8" sqref="D8"/>
    </sheetView>
  </sheetViews>
  <sheetFormatPr baseColWidth="10" defaultRowHeight="16" x14ac:dyDescent="0.2"/>
  <sheetData>
    <row r="1" spans="1:4" x14ac:dyDescent="0.2">
      <c r="A1" t="s">
        <v>3</v>
      </c>
      <c r="B1" t="s">
        <v>40</v>
      </c>
      <c r="C1" t="s">
        <v>45</v>
      </c>
      <c r="D1" t="s">
        <v>46</v>
      </c>
    </row>
    <row r="2" spans="1:4" x14ac:dyDescent="0.2">
      <c r="A2">
        <v>1</v>
      </c>
      <c r="B2" t="s">
        <v>5</v>
      </c>
      <c r="C2">
        <v>51.8837507</v>
      </c>
      <c r="D2">
        <v>5.2129943000000001</v>
      </c>
    </row>
    <row r="3" spans="1:4" x14ac:dyDescent="0.2">
      <c r="A3">
        <v>2</v>
      </c>
      <c r="B3" t="s">
        <v>39</v>
      </c>
      <c r="C3">
        <v>52.223329999999997</v>
      </c>
      <c r="D3">
        <v>5.1763899999999996</v>
      </c>
    </row>
    <row r="4" spans="1:4" x14ac:dyDescent="0.2">
      <c r="A4">
        <v>3</v>
      </c>
      <c r="B4" t="s">
        <v>50</v>
      </c>
      <c r="C4">
        <v>53.202129999999997</v>
      </c>
      <c r="D4">
        <v>6.1118300000000003</v>
      </c>
    </row>
    <row r="5" spans="1:4" x14ac:dyDescent="0.2">
      <c r="A5">
        <v>4</v>
      </c>
      <c r="B5" t="s">
        <v>52</v>
      </c>
      <c r="C5">
        <v>52.371758</v>
      </c>
      <c r="D5">
        <v>4.8791460000000004</v>
      </c>
    </row>
    <row r="6" spans="1:4" x14ac:dyDescent="0.2">
      <c r="A6">
        <v>5</v>
      </c>
      <c r="B6" t="s">
        <v>51</v>
      </c>
      <c r="C6">
        <v>52.255645000000001</v>
      </c>
      <c r="D6">
        <v>5.2299049999999996</v>
      </c>
    </row>
    <row r="7" spans="1:4" x14ac:dyDescent="0.2">
      <c r="A7">
        <v>6</v>
      </c>
      <c r="B7" t="s">
        <v>53</v>
      </c>
      <c r="C7">
        <v>50.769187000000002</v>
      </c>
      <c r="D7">
        <v>5.8121359999999997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29319-C32D-134F-AC0B-5B3BA6AF47EB}">
  <dimension ref="A1:B4"/>
  <sheetViews>
    <sheetView workbookViewId="0">
      <selection activeCell="D13" sqref="D13"/>
    </sheetView>
  </sheetViews>
  <sheetFormatPr baseColWidth="10" defaultRowHeight="16" x14ac:dyDescent="0.2"/>
  <sheetData>
    <row r="1" spans="1:2" x14ac:dyDescent="0.2">
      <c r="A1">
        <v>3</v>
      </c>
      <c r="B1" t="s">
        <v>41</v>
      </c>
    </row>
    <row r="2" spans="1:2" x14ac:dyDescent="0.2">
      <c r="A2">
        <v>4</v>
      </c>
      <c r="B2" t="s">
        <v>42</v>
      </c>
    </row>
    <row r="3" spans="1:2" x14ac:dyDescent="0.2">
      <c r="A3">
        <v>5</v>
      </c>
      <c r="B3" t="s">
        <v>43</v>
      </c>
    </row>
    <row r="4" spans="1:2" x14ac:dyDescent="0.2">
      <c r="A4">
        <v>6</v>
      </c>
      <c r="B4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tco</vt:lpstr>
      <vt:lpstr>peu</vt:lpstr>
      <vt:lpstr>capex</vt:lpstr>
      <vt:lpstr>sensitivity</vt:lpstr>
      <vt:lpstr>location</vt:lpstr>
      <vt:lpstr>map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 Canfield</dc:creator>
  <cp:lastModifiedBy>Kristin Canfield</cp:lastModifiedBy>
  <dcterms:created xsi:type="dcterms:W3CDTF">2026-06-16T14:01:27Z</dcterms:created>
  <dcterms:modified xsi:type="dcterms:W3CDTF">2026-06-19T13:39:30Z</dcterms:modified>
</cp:coreProperties>
</file>