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canfield/Development/uu-consultancy/"/>
    </mc:Choice>
  </mc:AlternateContent>
  <xr:revisionPtr revIDLastSave="0" documentId="13_ncr:1_{ADE3A878-7383-FC4B-B1C3-C85CB1E931AE}" xr6:coauthVersionLast="47" xr6:coauthVersionMax="47" xr10:uidLastSave="{00000000-0000-0000-0000-000000000000}"/>
  <bookViews>
    <workbookView xWindow="1480" yWindow="1740" windowWidth="27240" windowHeight="16080" activeTab="4" xr2:uid="{32A3E7A0-C034-E447-905E-A5AE5646D74E}"/>
  </bookViews>
  <sheets>
    <sheet name="tco" sheetId="1" r:id="rId1"/>
    <sheet name="peu" sheetId="3" r:id="rId2"/>
    <sheet name="capex" sheetId="2" r:id="rId3"/>
    <sheet name="sensitivity" sheetId="4" r:id="rId4"/>
    <sheet name="location" sheetId="7" r:id="rId5"/>
    <sheet name="map" sheetId="5" r:id="rId6"/>
    <sheet name="Sheet6" sheetId="6" r:id="rId7"/>
  </sheets>
  <calcPr calcId="181029" concurrentManualCount="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A10" i="1"/>
  <c r="A9" i="1"/>
  <c r="A8" i="1"/>
  <c r="A7" i="1"/>
  <c r="A4" i="1"/>
  <c r="A5" i="1"/>
  <c r="A6" i="1"/>
  <c r="A2" i="1"/>
  <c r="A3" i="1"/>
</calcChain>
</file>

<file path=xl/sharedStrings.xml><?xml version="1.0" encoding="utf-8"?>
<sst xmlns="http://schemas.openxmlformats.org/spreadsheetml/2006/main" count="330" uniqueCount="59">
  <si>
    <t>configuration</t>
  </si>
  <si>
    <t>value</t>
  </si>
  <si>
    <t>category</t>
  </si>
  <si>
    <t>id</t>
  </si>
  <si>
    <t>location</t>
  </si>
  <si>
    <t>Enspijk</t>
  </si>
  <si>
    <t>Source</t>
  </si>
  <si>
    <t>Heat Plant</t>
  </si>
  <si>
    <t>Distribution</t>
  </si>
  <si>
    <t>Geothermal</t>
  </si>
  <si>
    <t>Aquathermal</t>
  </si>
  <si>
    <t>kWh/house</t>
  </si>
  <si>
    <t>unit</t>
  </si>
  <si>
    <t>tco</t>
  </si>
  <si>
    <t>AWHP Individual</t>
  </si>
  <si>
    <t>AWHP Collective</t>
  </si>
  <si>
    <t>Natural Gas</t>
  </si>
  <si>
    <t>peu</t>
  </si>
  <si>
    <t>parameter</t>
  </si>
  <si>
    <t>min</t>
  </si>
  <si>
    <t>base</t>
  </si>
  <si>
    <t>max</t>
  </si>
  <si>
    <t>Average Gas Price 2025</t>
  </si>
  <si>
    <t>ETS2 2030</t>
  </si>
  <si>
    <t>ETS2 2077</t>
  </si>
  <si>
    <t>Price of collective electricity</t>
  </si>
  <si>
    <t>Price of individual electricity</t>
  </si>
  <si>
    <t>Construction time</t>
  </si>
  <si>
    <t>Interest on Loan</t>
  </si>
  <si>
    <t>Discount Rate</t>
  </si>
  <si>
    <t>Percentage engineering/unforeseen</t>
  </si>
  <si>
    <t>Participation @ Start</t>
  </si>
  <si>
    <t>Participation @ End</t>
  </si>
  <si>
    <t>Size of heat pump</t>
  </si>
  <si>
    <t>Size of buffer vat</t>
  </si>
  <si>
    <t>Heat Production Geothermal Probes</t>
  </si>
  <si>
    <t>DeltaT air source</t>
  </si>
  <si>
    <t>DeltaT geo source</t>
  </si>
  <si>
    <t>DeltaT aqua source</t>
  </si>
  <si>
    <t>Hilversum</t>
  </si>
  <si>
    <t>name</t>
  </si>
  <si>
    <t>Hilversumse Meent</t>
  </si>
  <si>
    <t>Enkhuizen</t>
  </si>
  <si>
    <t>Ramplaaankwartier</t>
  </si>
  <si>
    <t>Houten</t>
  </si>
  <si>
    <t>Den Haag</t>
  </si>
  <si>
    <t>val1</t>
  </si>
  <si>
    <t>val2</t>
  </si>
  <si>
    <t>latitude</t>
  </si>
  <si>
    <t>longitude</t>
  </si>
  <si>
    <t>Amount of Housing equivalent</t>
  </si>
  <si>
    <t>Total distribution length</t>
  </si>
  <si>
    <t>Distance distribution net to house</t>
  </si>
  <si>
    <t>Borehole Depth</t>
  </si>
  <si>
    <t>Distance boreholes to HP</t>
  </si>
  <si>
    <t>Distance Heat Source to Heat Pump</t>
  </si>
  <si>
    <t>Percentage asphalt</t>
  </si>
  <si>
    <t>Percentage stone paving</t>
  </si>
  <si>
    <t>Fake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</si>
</sst>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0"/>
      <name val="Arial"/>
      <family val="2"/>
      <charset val="1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54B32-49CF-DA45-A7BA-34DDFD70138D}">
  <dimension ref="A1:D11"/>
  <sheetViews>
    <sheetView workbookViewId="0">
      <selection activeCell="H19" sqref="H19"/>
    </sheetView>
  </sheetViews>
  <sheetFormatPr baseColWidth="10" defaultRowHeight="16" x14ac:dyDescent="0.2"/>
  <cols>
    <col min="1" max="1" width="27.6640625" bestFit="1" customWidth="1"/>
    <col min="2" max="2" width="29.33203125" bestFit="1" customWidth="1"/>
  </cols>
  <sheetData>
    <row r="1" spans="1:4" x14ac:dyDescent="0.2">
      <c r="A1" s="1" t="s">
        <v>3</v>
      </c>
      <c r="B1" s="1" t="s">
        <v>0</v>
      </c>
      <c r="C1" s="1" t="s">
        <v>13</v>
      </c>
      <c r="D1" s="1" t="s">
        <v>4</v>
      </c>
    </row>
    <row r="2" spans="1:4" x14ac:dyDescent="0.2">
      <c r="A2" t="str">
        <f>_xlfn.CONCAT(B2,"_",D2)</f>
        <v>Natural Gas_Enspijk</v>
      </c>
      <c r="B2" t="s">
        <v>16</v>
      </c>
      <c r="C2">
        <v>128479.27</v>
      </c>
      <c r="D2" t="s">
        <v>5</v>
      </c>
    </row>
    <row r="3" spans="1:4" x14ac:dyDescent="0.2">
      <c r="A3" t="str">
        <f>_xlfn.CONCAT(B3,"_",D3)</f>
        <v>AWHP Individual_Enspijk</v>
      </c>
      <c r="B3" t="s">
        <v>14</v>
      </c>
      <c r="C3">
        <v>226283</v>
      </c>
      <c r="D3" t="s">
        <v>5</v>
      </c>
    </row>
    <row r="4" spans="1:4" x14ac:dyDescent="0.2">
      <c r="A4" t="str">
        <f>_xlfn.CONCAT(B4,"_",D4)</f>
        <v>AWHP Collective_Enspijk</v>
      </c>
      <c r="B4" t="s">
        <v>15</v>
      </c>
      <c r="C4">
        <v>145837.35</v>
      </c>
      <c r="D4" t="s">
        <v>5</v>
      </c>
    </row>
    <row r="5" spans="1:4" x14ac:dyDescent="0.2">
      <c r="A5" t="str">
        <f>_xlfn.CONCAT(B5,"_",D5)</f>
        <v>Geothermal_Enspijk</v>
      </c>
      <c r="B5" t="s">
        <v>9</v>
      </c>
      <c r="C5">
        <v>154318.95000000001</v>
      </c>
      <c r="D5" t="s">
        <v>5</v>
      </c>
    </row>
    <row r="6" spans="1:4" x14ac:dyDescent="0.2">
      <c r="A6" t="str">
        <f>_xlfn.CONCAT(B6,"_",D6)</f>
        <v>Aquathermal_Enspijk</v>
      </c>
      <c r="B6" t="s">
        <v>10</v>
      </c>
      <c r="C6">
        <v>142463.01</v>
      </c>
      <c r="D6" t="s">
        <v>5</v>
      </c>
    </row>
    <row r="7" spans="1:4" x14ac:dyDescent="0.2">
      <c r="A7" t="str">
        <f>_xlfn.CONCAT(B7,"_",D7)</f>
        <v>Natural Gas_Hilversum</v>
      </c>
      <c r="B7" t="s">
        <v>16</v>
      </c>
      <c r="C7">
        <v>84804.84</v>
      </c>
      <c r="D7" t="s">
        <v>39</v>
      </c>
    </row>
    <row r="8" spans="1:4" x14ac:dyDescent="0.2">
      <c r="A8" t="str">
        <f>_xlfn.CONCAT(B8,"_",D8)</f>
        <v>AWHP Individual_Hilversum</v>
      </c>
      <c r="B8" t="s">
        <v>14</v>
      </c>
      <c r="C8">
        <v>177115.7</v>
      </c>
      <c r="D8" t="s">
        <v>39</v>
      </c>
    </row>
    <row r="9" spans="1:4" x14ac:dyDescent="0.2">
      <c r="A9" t="str">
        <f>_xlfn.CONCAT(B9,"_",D9)</f>
        <v>AWHP Collective_Hilversum</v>
      </c>
      <c r="B9" t="s">
        <v>15</v>
      </c>
      <c r="C9">
        <v>71665.5</v>
      </c>
      <c r="D9" t="s">
        <v>39</v>
      </c>
    </row>
    <row r="10" spans="1:4" x14ac:dyDescent="0.2">
      <c r="A10" t="str">
        <f>_xlfn.CONCAT(B10,"_",D10)</f>
        <v>Geothermal_Hilversum</v>
      </c>
      <c r="B10" t="s">
        <v>9</v>
      </c>
      <c r="C10">
        <v>74210.899999999994</v>
      </c>
      <c r="D10" t="s">
        <v>39</v>
      </c>
    </row>
    <row r="11" spans="1:4" x14ac:dyDescent="0.2">
      <c r="A11" t="str">
        <f>_xlfn.CONCAT(B11,"_",D11)</f>
        <v>Aquathermal_Hilversum</v>
      </c>
      <c r="B11" t="s">
        <v>10</v>
      </c>
      <c r="C11">
        <v>67987.600000000006</v>
      </c>
      <c r="D11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0F79F-759F-F344-8268-DE15C599ED4F}">
  <dimension ref="A1:D6"/>
  <sheetViews>
    <sheetView workbookViewId="0">
      <selection activeCell="C7" sqref="C7"/>
    </sheetView>
  </sheetViews>
  <sheetFormatPr baseColWidth="10" defaultRowHeight="16" x14ac:dyDescent="0.2"/>
  <cols>
    <col min="1" max="1" width="14.6640625" bestFit="1" customWidth="1"/>
    <col min="2" max="2" width="12.1640625" bestFit="1" customWidth="1"/>
    <col min="3" max="3" width="12.1640625" customWidth="1"/>
    <col min="4" max="4" width="10.5" bestFit="1" customWidth="1"/>
  </cols>
  <sheetData>
    <row r="1" spans="1:4" x14ac:dyDescent="0.2">
      <c r="A1" t="s">
        <v>0</v>
      </c>
      <c r="B1" t="s">
        <v>17</v>
      </c>
      <c r="C1" t="s">
        <v>4</v>
      </c>
      <c r="D1" t="s">
        <v>12</v>
      </c>
    </row>
    <row r="2" spans="1:4" x14ac:dyDescent="0.2">
      <c r="A2" t="s">
        <v>16</v>
      </c>
      <c r="B2">
        <v>16290.310380000001</v>
      </c>
      <c r="C2" t="s">
        <v>5</v>
      </c>
      <c r="D2" t="s">
        <v>11</v>
      </c>
    </row>
    <row r="3" spans="1:4" x14ac:dyDescent="0.2">
      <c r="A3" t="s">
        <v>14</v>
      </c>
      <c r="B3">
        <v>8055.3820610000002</v>
      </c>
      <c r="C3" t="s">
        <v>5</v>
      </c>
      <c r="D3" t="s">
        <v>11</v>
      </c>
    </row>
    <row r="4" spans="1:4" x14ac:dyDescent="0.2">
      <c r="A4" t="s">
        <v>15</v>
      </c>
      <c r="B4">
        <v>11860.21387</v>
      </c>
      <c r="C4" t="s">
        <v>5</v>
      </c>
      <c r="D4" t="s">
        <v>11</v>
      </c>
    </row>
    <row r="5" spans="1:4" x14ac:dyDescent="0.2">
      <c r="A5" t="s">
        <v>10</v>
      </c>
      <c r="B5">
        <v>8341.8224470000005</v>
      </c>
      <c r="C5" t="s">
        <v>5</v>
      </c>
      <c r="D5" t="s">
        <v>11</v>
      </c>
    </row>
    <row r="6" spans="1:4" ht="15" customHeight="1" x14ac:dyDescent="0.2">
      <c r="A6" t="s">
        <v>9</v>
      </c>
      <c r="B6">
        <v>6658.08878</v>
      </c>
      <c r="C6" t="s">
        <v>5</v>
      </c>
      <c r="D6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417DA-88A9-2242-BB46-EE389DD93EB6}">
  <dimension ref="A1:D16"/>
  <sheetViews>
    <sheetView zoomScale="150" zoomScaleNormal="150" workbookViewId="0">
      <selection activeCell="D17" sqref="D17"/>
    </sheetView>
  </sheetViews>
  <sheetFormatPr baseColWidth="10" defaultRowHeight="16" x14ac:dyDescent="0.2"/>
  <cols>
    <col min="1" max="1" width="14.6640625" bestFit="1" customWidth="1"/>
  </cols>
  <sheetData>
    <row r="1" spans="1:4" x14ac:dyDescent="0.2">
      <c r="A1" t="s">
        <v>0</v>
      </c>
      <c r="B1" t="s">
        <v>2</v>
      </c>
      <c r="C1" t="s">
        <v>1</v>
      </c>
      <c r="D1" t="s">
        <v>4</v>
      </c>
    </row>
    <row r="2" spans="1:4" x14ac:dyDescent="0.2">
      <c r="A2" t="s">
        <v>14</v>
      </c>
      <c r="B2" t="s">
        <v>6</v>
      </c>
      <c r="C2">
        <v>0</v>
      </c>
      <c r="D2" s="2" t="s">
        <v>5</v>
      </c>
    </row>
    <row r="3" spans="1:4" x14ac:dyDescent="0.2">
      <c r="A3" t="s">
        <v>14</v>
      </c>
      <c r="B3" t="s">
        <v>7</v>
      </c>
      <c r="C3">
        <v>149556.9</v>
      </c>
      <c r="D3" s="2" t="s">
        <v>5</v>
      </c>
    </row>
    <row r="4" spans="1:4" x14ac:dyDescent="0.2">
      <c r="A4" t="s">
        <v>14</v>
      </c>
      <c r="B4" t="s">
        <v>8</v>
      </c>
      <c r="C4">
        <v>10000</v>
      </c>
      <c r="D4" s="2" t="s">
        <v>5</v>
      </c>
    </row>
    <row r="5" spans="1:4" x14ac:dyDescent="0.2">
      <c r="A5" t="s">
        <v>15</v>
      </c>
      <c r="B5" t="s">
        <v>6</v>
      </c>
      <c r="C5">
        <v>6.9405479999999997</v>
      </c>
      <c r="D5" s="2" t="s">
        <v>5</v>
      </c>
    </row>
    <row r="6" spans="1:4" x14ac:dyDescent="0.2">
      <c r="A6" t="s">
        <v>15</v>
      </c>
      <c r="B6" t="s">
        <v>7</v>
      </c>
      <c r="C6">
        <v>63999.18</v>
      </c>
      <c r="D6" s="2" t="s">
        <v>5</v>
      </c>
    </row>
    <row r="7" spans="1:4" x14ac:dyDescent="0.2">
      <c r="A7" t="s">
        <v>15</v>
      </c>
      <c r="B7" t="s">
        <v>8</v>
      </c>
      <c r="C7">
        <v>38872.67</v>
      </c>
      <c r="D7" s="2" t="s">
        <v>5</v>
      </c>
    </row>
    <row r="8" spans="1:4" x14ac:dyDescent="0.2">
      <c r="A8" t="s">
        <v>9</v>
      </c>
      <c r="B8" t="s">
        <v>6</v>
      </c>
      <c r="C8">
        <v>32046.16</v>
      </c>
      <c r="D8" s="2" t="s">
        <v>5</v>
      </c>
    </row>
    <row r="9" spans="1:4" x14ac:dyDescent="0.2">
      <c r="A9" t="s">
        <v>9</v>
      </c>
      <c r="B9" t="s">
        <v>7</v>
      </c>
      <c r="C9">
        <v>57555.39</v>
      </c>
      <c r="D9" s="2" t="s">
        <v>5</v>
      </c>
    </row>
    <row r="10" spans="1:4" x14ac:dyDescent="0.2">
      <c r="A10" t="s">
        <v>9</v>
      </c>
      <c r="B10" t="s">
        <v>8</v>
      </c>
      <c r="C10">
        <v>38872.67</v>
      </c>
      <c r="D10" s="2" t="s">
        <v>5</v>
      </c>
    </row>
    <row r="11" spans="1:4" x14ac:dyDescent="0.2">
      <c r="A11" t="s">
        <v>10</v>
      </c>
      <c r="B11" t="s">
        <v>6</v>
      </c>
      <c r="C11">
        <v>23889.3</v>
      </c>
      <c r="D11" s="2" t="s">
        <v>5</v>
      </c>
    </row>
    <row r="12" spans="1:4" x14ac:dyDescent="0.2">
      <c r="A12" t="s">
        <v>10</v>
      </c>
      <c r="B12" t="s">
        <v>7</v>
      </c>
      <c r="C12">
        <v>57555.39</v>
      </c>
      <c r="D12" s="2" t="s">
        <v>5</v>
      </c>
    </row>
    <row r="13" spans="1:4" x14ac:dyDescent="0.2">
      <c r="A13" t="s">
        <v>10</v>
      </c>
      <c r="B13" t="s">
        <v>8</v>
      </c>
      <c r="C13">
        <v>38872.67</v>
      </c>
      <c r="D13" s="2" t="s">
        <v>5</v>
      </c>
    </row>
    <row r="14" spans="1:4" x14ac:dyDescent="0.2">
      <c r="A14" t="s">
        <v>16</v>
      </c>
      <c r="B14" t="s">
        <v>6</v>
      </c>
      <c r="C14">
        <v>0</v>
      </c>
      <c r="D14" s="2" t="s">
        <v>5</v>
      </c>
    </row>
    <row r="15" spans="1:4" x14ac:dyDescent="0.2">
      <c r="A15" t="s">
        <v>16</v>
      </c>
      <c r="B15" t="s">
        <v>7</v>
      </c>
      <c r="C15">
        <v>11807.19</v>
      </c>
      <c r="D15" s="2" t="s">
        <v>5</v>
      </c>
    </row>
    <row r="16" spans="1:4" x14ac:dyDescent="0.2">
      <c r="A16" t="s">
        <v>16</v>
      </c>
      <c r="B16" t="s">
        <v>8</v>
      </c>
      <c r="C16">
        <v>0</v>
      </c>
      <c r="D16" s="2" t="s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DB4CA-953D-D348-A441-78180EB12D08}">
  <dimension ref="A1:E86"/>
  <sheetViews>
    <sheetView workbookViewId="0">
      <selection activeCell="I12" sqref="I12"/>
    </sheetView>
  </sheetViews>
  <sheetFormatPr baseColWidth="10" defaultRowHeight="16" x14ac:dyDescent="0.2"/>
  <cols>
    <col min="1" max="1" width="14.6640625" bestFit="1" customWidth="1"/>
    <col min="2" max="2" width="31" bestFit="1" customWidth="1"/>
    <col min="3" max="5" width="9.6640625" style="3" bestFit="1" customWidth="1"/>
  </cols>
  <sheetData>
    <row r="1" spans="1:5" x14ac:dyDescent="0.2">
      <c r="A1" t="s">
        <v>0</v>
      </c>
      <c r="B1" t="s">
        <v>18</v>
      </c>
      <c r="C1" s="3" t="s">
        <v>19</v>
      </c>
      <c r="D1" s="3" t="s">
        <v>20</v>
      </c>
      <c r="E1" s="3" t="s">
        <v>21</v>
      </c>
    </row>
    <row r="2" spans="1:5" x14ac:dyDescent="0.2">
      <c r="A2" t="s">
        <v>14</v>
      </c>
      <c r="B2" t="s">
        <v>22</v>
      </c>
      <c r="C2" s="3">
        <v>189447.23</v>
      </c>
      <c r="D2" s="3">
        <v>189447.23</v>
      </c>
      <c r="E2" s="3">
        <v>189447.23</v>
      </c>
    </row>
    <row r="3" spans="1:5" x14ac:dyDescent="0.2">
      <c r="A3" t="s">
        <v>14</v>
      </c>
      <c r="B3" t="s">
        <v>23</v>
      </c>
      <c r="C3" s="3">
        <v>189447.23</v>
      </c>
      <c r="D3" s="3">
        <v>189447.23</v>
      </c>
      <c r="E3" s="3">
        <v>189447.23</v>
      </c>
    </row>
    <row r="4" spans="1:5" x14ac:dyDescent="0.2">
      <c r="A4" t="s">
        <v>14</v>
      </c>
      <c r="B4" t="s">
        <v>24</v>
      </c>
      <c r="C4" s="3">
        <v>189447.23</v>
      </c>
      <c r="D4" s="3">
        <v>189447.23</v>
      </c>
      <c r="E4" s="3">
        <v>189447.23</v>
      </c>
    </row>
    <row r="5" spans="1:5" x14ac:dyDescent="0.2">
      <c r="A5" t="s">
        <v>14</v>
      </c>
      <c r="B5" t="s">
        <v>25</v>
      </c>
      <c r="C5" s="3">
        <v>189447.23</v>
      </c>
      <c r="D5" s="3">
        <v>189447.23</v>
      </c>
      <c r="E5" s="3">
        <v>189447.23</v>
      </c>
    </row>
    <row r="6" spans="1:5" x14ac:dyDescent="0.2">
      <c r="A6" t="s">
        <v>14</v>
      </c>
      <c r="B6" t="s">
        <v>26</v>
      </c>
      <c r="C6" s="3">
        <v>148075.41</v>
      </c>
      <c r="D6" s="3">
        <v>189447.23</v>
      </c>
      <c r="E6" s="3">
        <v>226283</v>
      </c>
    </row>
    <row r="7" spans="1:5" x14ac:dyDescent="0.2">
      <c r="A7" t="s">
        <v>14</v>
      </c>
      <c r="B7" t="s">
        <v>27</v>
      </c>
      <c r="C7" s="3">
        <v>189447.23</v>
      </c>
      <c r="D7" s="3">
        <v>189447.23</v>
      </c>
      <c r="E7" s="3">
        <v>189447.23</v>
      </c>
    </row>
    <row r="8" spans="1:5" x14ac:dyDescent="0.2">
      <c r="A8" t="s">
        <v>14</v>
      </c>
      <c r="B8" t="s">
        <v>28</v>
      </c>
      <c r="C8" s="3">
        <v>183919.66</v>
      </c>
      <c r="D8" s="3">
        <v>189447.23</v>
      </c>
      <c r="E8" s="3">
        <v>200912.69</v>
      </c>
    </row>
    <row r="9" spans="1:5" x14ac:dyDescent="0.2">
      <c r="A9" t="s">
        <v>14</v>
      </c>
      <c r="B9" t="s">
        <v>29</v>
      </c>
      <c r="C9" s="3">
        <v>317653.88</v>
      </c>
      <c r="D9" s="3">
        <v>189447.23</v>
      </c>
      <c r="E9" s="3">
        <v>101678.95</v>
      </c>
    </row>
    <row r="10" spans="1:5" x14ac:dyDescent="0.2">
      <c r="A10" t="s">
        <v>14</v>
      </c>
      <c r="B10" t="s">
        <v>30</v>
      </c>
      <c r="C10" s="3">
        <v>189447.23</v>
      </c>
      <c r="D10" s="3">
        <v>189447.23</v>
      </c>
      <c r="E10" s="3">
        <v>189447.23</v>
      </c>
    </row>
    <row r="11" spans="1:5" x14ac:dyDescent="0.2">
      <c r="A11" t="s">
        <v>14</v>
      </c>
      <c r="B11" t="s">
        <v>31</v>
      </c>
      <c r="C11" s="3">
        <v>189447.23</v>
      </c>
      <c r="D11" s="3">
        <v>189447.23</v>
      </c>
      <c r="E11" s="3">
        <v>189447.23</v>
      </c>
    </row>
    <row r="12" spans="1:5" x14ac:dyDescent="0.2">
      <c r="A12" t="s">
        <v>14</v>
      </c>
      <c r="B12" t="s">
        <v>32</v>
      </c>
      <c r="C12" s="3">
        <v>189447.23</v>
      </c>
      <c r="D12" s="3">
        <v>189447.23</v>
      </c>
      <c r="E12" s="3">
        <v>189447.23</v>
      </c>
    </row>
    <row r="13" spans="1:5" x14ac:dyDescent="0.2">
      <c r="A13" t="s">
        <v>14</v>
      </c>
      <c r="B13" t="s">
        <v>33</v>
      </c>
      <c r="C13" s="3">
        <v>189447.23</v>
      </c>
      <c r="D13" s="3">
        <v>189447.23</v>
      </c>
      <c r="E13" s="3">
        <v>189447.23</v>
      </c>
    </row>
    <row r="14" spans="1:5" x14ac:dyDescent="0.2">
      <c r="A14" t="s">
        <v>14</v>
      </c>
      <c r="B14" t="s">
        <v>34</v>
      </c>
      <c r="C14" s="3">
        <v>189447.23</v>
      </c>
      <c r="D14" s="3">
        <v>189447.23</v>
      </c>
      <c r="E14" s="3">
        <v>189447.23</v>
      </c>
    </row>
    <row r="15" spans="1:5" x14ac:dyDescent="0.2">
      <c r="A15" t="s">
        <v>14</v>
      </c>
      <c r="B15" t="s">
        <v>35</v>
      </c>
      <c r="C15" s="3">
        <v>189447.23</v>
      </c>
      <c r="D15" s="3">
        <v>189447.23</v>
      </c>
      <c r="E15" s="3">
        <v>189447.23</v>
      </c>
    </row>
    <row r="16" spans="1:5" x14ac:dyDescent="0.2">
      <c r="A16" t="s">
        <v>14</v>
      </c>
      <c r="B16" t="s">
        <v>36</v>
      </c>
      <c r="C16" s="3">
        <v>185436.02</v>
      </c>
      <c r="D16" s="3">
        <v>189447.23</v>
      </c>
      <c r="E16" s="3">
        <v>193484.27</v>
      </c>
    </row>
    <row r="17" spans="1:5" x14ac:dyDescent="0.2">
      <c r="A17" t="s">
        <v>14</v>
      </c>
      <c r="B17" t="s">
        <v>37</v>
      </c>
      <c r="C17" s="3">
        <v>189447.23</v>
      </c>
      <c r="D17" s="3">
        <v>189447.23</v>
      </c>
      <c r="E17" s="3">
        <v>189447.23</v>
      </c>
    </row>
    <row r="18" spans="1:5" x14ac:dyDescent="0.2">
      <c r="A18" t="s">
        <v>14</v>
      </c>
      <c r="B18" t="s">
        <v>38</v>
      </c>
      <c r="C18" s="3">
        <v>189447.23</v>
      </c>
      <c r="D18" s="3">
        <v>189447.23</v>
      </c>
      <c r="E18" s="3">
        <v>189447.23</v>
      </c>
    </row>
    <row r="19" spans="1:5" x14ac:dyDescent="0.2">
      <c r="A19" t="s">
        <v>15</v>
      </c>
      <c r="B19" t="s">
        <v>22</v>
      </c>
      <c r="C19" s="3">
        <v>145837.35</v>
      </c>
      <c r="D19" s="3">
        <v>145837.35</v>
      </c>
      <c r="E19" s="3">
        <v>145837.35</v>
      </c>
    </row>
    <row r="20" spans="1:5" x14ac:dyDescent="0.2">
      <c r="A20" t="s">
        <v>15</v>
      </c>
      <c r="B20" t="s">
        <v>23</v>
      </c>
      <c r="C20" s="3">
        <v>145836.79</v>
      </c>
      <c r="D20" s="3">
        <v>145837.35</v>
      </c>
      <c r="E20" s="3">
        <v>145836.79</v>
      </c>
    </row>
    <row r="21" spans="1:5" x14ac:dyDescent="0.2">
      <c r="A21" t="s">
        <v>15</v>
      </c>
      <c r="B21" t="s">
        <v>24</v>
      </c>
      <c r="C21" s="3">
        <v>145836.79</v>
      </c>
      <c r="D21" s="3">
        <v>145837.35</v>
      </c>
      <c r="E21" s="3">
        <v>145836.79</v>
      </c>
    </row>
    <row r="22" spans="1:5" x14ac:dyDescent="0.2">
      <c r="A22" t="s">
        <v>15</v>
      </c>
      <c r="B22" t="s">
        <v>25</v>
      </c>
      <c r="C22" s="3">
        <v>134657.96</v>
      </c>
      <c r="D22" s="3">
        <v>145837.35</v>
      </c>
      <c r="E22" s="3">
        <v>201735.73</v>
      </c>
    </row>
    <row r="23" spans="1:5" x14ac:dyDescent="0.2">
      <c r="A23" t="s">
        <v>15</v>
      </c>
      <c r="B23" t="s">
        <v>26</v>
      </c>
      <c r="C23" s="3">
        <v>145836.79</v>
      </c>
      <c r="D23" s="3">
        <v>145837.35</v>
      </c>
      <c r="E23" s="3">
        <v>145836.79</v>
      </c>
    </row>
    <row r="24" spans="1:5" x14ac:dyDescent="0.2">
      <c r="A24" t="s">
        <v>15</v>
      </c>
      <c r="B24" t="s">
        <v>27</v>
      </c>
      <c r="C24" s="3">
        <v>145855.15</v>
      </c>
      <c r="D24" s="3">
        <v>145837.35</v>
      </c>
      <c r="E24" s="3">
        <v>138795.97</v>
      </c>
    </row>
    <row r="25" spans="1:5" x14ac:dyDescent="0.2">
      <c r="A25" t="s">
        <v>15</v>
      </c>
      <c r="B25" t="s">
        <v>28</v>
      </c>
      <c r="C25" s="3">
        <v>135950.79999999999</v>
      </c>
      <c r="D25" s="3">
        <v>145837.35</v>
      </c>
      <c r="E25" s="3">
        <v>171251.8</v>
      </c>
    </row>
    <row r="26" spans="1:5" x14ac:dyDescent="0.2">
      <c r="A26" t="s">
        <v>15</v>
      </c>
      <c r="B26" t="s">
        <v>29</v>
      </c>
      <c r="C26" s="3">
        <v>262276.56</v>
      </c>
      <c r="D26" s="3">
        <v>145837.35</v>
      </c>
      <c r="E26" s="3">
        <v>71960.52</v>
      </c>
    </row>
    <row r="27" spans="1:5" x14ac:dyDescent="0.2">
      <c r="A27" t="s">
        <v>15</v>
      </c>
      <c r="B27" t="s">
        <v>30</v>
      </c>
      <c r="C27" s="3">
        <v>143644.81</v>
      </c>
      <c r="D27" s="3">
        <v>145837.35</v>
      </c>
      <c r="E27" s="3">
        <v>148028.72</v>
      </c>
    </row>
    <row r="28" spans="1:5" x14ac:dyDescent="0.2">
      <c r="A28" t="s">
        <v>15</v>
      </c>
      <c r="B28" t="s">
        <v>31</v>
      </c>
      <c r="C28" s="3">
        <v>147913.07999999999</v>
      </c>
      <c r="D28" s="3">
        <v>145837.35</v>
      </c>
      <c r="E28" s="3">
        <v>143743.70000000001</v>
      </c>
    </row>
    <row r="29" spans="1:5" x14ac:dyDescent="0.2">
      <c r="A29" t="s">
        <v>15</v>
      </c>
      <c r="B29" t="s">
        <v>32</v>
      </c>
      <c r="C29" s="3">
        <v>154762.13</v>
      </c>
      <c r="D29" s="3">
        <v>145837.35</v>
      </c>
      <c r="E29" s="3">
        <v>138410.97</v>
      </c>
    </row>
    <row r="30" spans="1:5" x14ac:dyDescent="0.2">
      <c r="A30" t="s">
        <v>15</v>
      </c>
      <c r="B30" t="s">
        <v>33</v>
      </c>
      <c r="C30" s="3">
        <v>142799.26</v>
      </c>
      <c r="D30" s="3">
        <v>145837.35</v>
      </c>
      <c r="E30" s="3">
        <v>154091.44</v>
      </c>
    </row>
    <row r="31" spans="1:5" x14ac:dyDescent="0.2">
      <c r="A31" t="s">
        <v>15</v>
      </c>
      <c r="B31" t="s">
        <v>34</v>
      </c>
      <c r="C31" s="3">
        <v>144752.32000000001</v>
      </c>
      <c r="D31" s="3">
        <v>145837.35</v>
      </c>
      <c r="E31" s="3">
        <v>146947.93</v>
      </c>
    </row>
    <row r="32" spans="1:5" x14ac:dyDescent="0.2">
      <c r="A32" t="s">
        <v>15</v>
      </c>
      <c r="B32" t="s">
        <v>35</v>
      </c>
      <c r="C32" s="3">
        <v>145836.70000000001</v>
      </c>
      <c r="D32" s="3">
        <v>145837.35</v>
      </c>
      <c r="E32" s="3">
        <v>145836.70000000001</v>
      </c>
    </row>
    <row r="33" spans="1:5" x14ac:dyDescent="0.2">
      <c r="A33" t="s">
        <v>15</v>
      </c>
      <c r="B33" t="s">
        <v>36</v>
      </c>
      <c r="C33" s="3">
        <v>143625.18</v>
      </c>
      <c r="D33" s="3">
        <v>145837.35</v>
      </c>
      <c r="E33" s="3">
        <v>148062.44</v>
      </c>
    </row>
    <row r="34" spans="1:5" x14ac:dyDescent="0.2">
      <c r="A34" t="s">
        <v>15</v>
      </c>
      <c r="B34" t="s">
        <v>37</v>
      </c>
      <c r="C34" s="3">
        <v>145836.95000000001</v>
      </c>
      <c r="D34" s="3">
        <v>145837.35</v>
      </c>
      <c r="E34" s="3">
        <v>145836.78</v>
      </c>
    </row>
    <row r="35" spans="1:5" x14ac:dyDescent="0.2">
      <c r="A35" t="s">
        <v>15</v>
      </c>
      <c r="B35" t="s">
        <v>38</v>
      </c>
      <c r="C35" s="3">
        <v>145836.78</v>
      </c>
      <c r="D35" s="3">
        <v>145837.35</v>
      </c>
      <c r="E35" s="3">
        <v>145836.78</v>
      </c>
    </row>
    <row r="36" spans="1:5" x14ac:dyDescent="0.2">
      <c r="A36" t="s">
        <v>9</v>
      </c>
      <c r="B36" t="s">
        <v>22</v>
      </c>
      <c r="C36" s="3">
        <v>154318.95000000001</v>
      </c>
      <c r="D36" s="3">
        <v>154318.95000000001</v>
      </c>
      <c r="E36" s="3">
        <v>154318.95000000001</v>
      </c>
    </row>
    <row r="37" spans="1:5" x14ac:dyDescent="0.2">
      <c r="A37" t="s">
        <v>9</v>
      </c>
      <c r="B37" t="s">
        <v>23</v>
      </c>
      <c r="C37" s="3">
        <v>154318.95000000001</v>
      </c>
      <c r="D37" s="3">
        <v>154318.95000000001</v>
      </c>
      <c r="E37" s="3">
        <v>154317</v>
      </c>
    </row>
    <row r="38" spans="1:5" x14ac:dyDescent="0.2">
      <c r="A38" t="s">
        <v>9</v>
      </c>
      <c r="B38" t="s">
        <v>24</v>
      </c>
      <c r="C38" s="3">
        <v>154316.98000000001</v>
      </c>
      <c r="D38" s="3">
        <v>154318.95000000001</v>
      </c>
      <c r="E38" s="3">
        <v>154316.98000000001</v>
      </c>
    </row>
    <row r="39" spans="1:5" x14ac:dyDescent="0.2">
      <c r="A39" t="s">
        <v>9</v>
      </c>
      <c r="B39" t="s">
        <v>25</v>
      </c>
      <c r="C39" s="3">
        <v>148042.78</v>
      </c>
      <c r="D39" s="3">
        <v>154318.95000000001</v>
      </c>
      <c r="E39" s="3">
        <v>185697.7</v>
      </c>
    </row>
    <row r="40" spans="1:5" x14ac:dyDescent="0.2">
      <c r="A40" t="s">
        <v>9</v>
      </c>
      <c r="B40" t="s">
        <v>26</v>
      </c>
      <c r="C40" s="3">
        <v>154319.01999999999</v>
      </c>
      <c r="D40" s="3">
        <v>154318.95000000001</v>
      </c>
      <c r="E40" s="3">
        <v>154316.97</v>
      </c>
    </row>
    <row r="41" spans="1:5" x14ac:dyDescent="0.2">
      <c r="A41" t="s">
        <v>9</v>
      </c>
      <c r="B41" t="s">
        <v>27</v>
      </c>
      <c r="C41" s="3">
        <v>153737.85</v>
      </c>
      <c r="D41" s="3">
        <v>154318.95000000001</v>
      </c>
      <c r="E41" s="3">
        <v>147713.35</v>
      </c>
    </row>
    <row r="42" spans="1:5" x14ac:dyDescent="0.2">
      <c r="A42" t="s">
        <v>9</v>
      </c>
      <c r="B42" t="s">
        <v>28</v>
      </c>
      <c r="C42" s="3">
        <v>141359.47</v>
      </c>
      <c r="D42" s="3">
        <v>154318.95000000001</v>
      </c>
      <c r="E42" s="3">
        <v>187445.6</v>
      </c>
    </row>
    <row r="43" spans="1:5" x14ac:dyDescent="0.2">
      <c r="A43" t="s">
        <v>9</v>
      </c>
      <c r="B43" t="s">
        <v>29</v>
      </c>
      <c r="C43" s="3">
        <v>277716.77</v>
      </c>
      <c r="D43" s="3">
        <v>154318.95000000001</v>
      </c>
      <c r="E43" s="3">
        <v>76031.56</v>
      </c>
    </row>
    <row r="44" spans="1:5" x14ac:dyDescent="0.2">
      <c r="A44" t="s">
        <v>9</v>
      </c>
      <c r="B44" t="s">
        <v>30</v>
      </c>
      <c r="C44" s="3">
        <v>149619.97</v>
      </c>
      <c r="D44" s="3">
        <v>154318.95000000001</v>
      </c>
      <c r="E44" s="3">
        <v>159020.70000000001</v>
      </c>
    </row>
    <row r="45" spans="1:5" x14ac:dyDescent="0.2">
      <c r="A45" t="s">
        <v>9</v>
      </c>
      <c r="B45" t="s">
        <v>31</v>
      </c>
      <c r="C45" s="3">
        <v>157184.82</v>
      </c>
      <c r="D45" s="3">
        <v>154318.95000000001</v>
      </c>
      <c r="E45" s="3">
        <v>151447.9</v>
      </c>
    </row>
    <row r="46" spans="1:5" x14ac:dyDescent="0.2">
      <c r="A46" t="s">
        <v>9</v>
      </c>
      <c r="B46" t="s">
        <v>32</v>
      </c>
      <c r="C46" s="3">
        <v>170613.6</v>
      </c>
      <c r="D46" s="3">
        <v>154318.95000000001</v>
      </c>
      <c r="E46" s="3">
        <v>144095.32999999999</v>
      </c>
    </row>
    <row r="47" spans="1:5" x14ac:dyDescent="0.2">
      <c r="A47" t="s">
        <v>9</v>
      </c>
      <c r="B47" t="s">
        <v>33</v>
      </c>
      <c r="C47" s="3">
        <v>144806.04</v>
      </c>
      <c r="D47" s="3">
        <v>154318.95000000001</v>
      </c>
      <c r="E47" s="3">
        <v>170898.25</v>
      </c>
    </row>
    <row r="48" spans="1:5" x14ac:dyDescent="0.2">
      <c r="A48" t="s">
        <v>9</v>
      </c>
      <c r="B48" t="s">
        <v>34</v>
      </c>
      <c r="C48" s="3">
        <v>153252.24</v>
      </c>
      <c r="D48" s="3">
        <v>154318.95000000001</v>
      </c>
      <c r="E48" s="3">
        <v>155421.85</v>
      </c>
    </row>
    <row r="49" spans="1:5" x14ac:dyDescent="0.2">
      <c r="A49" t="s">
        <v>9</v>
      </c>
      <c r="B49" t="s">
        <v>35</v>
      </c>
      <c r="C49" s="3">
        <v>154482.59</v>
      </c>
      <c r="D49" s="3">
        <v>154318.95000000001</v>
      </c>
      <c r="E49" s="3">
        <v>154501.4</v>
      </c>
    </row>
    <row r="50" spans="1:5" x14ac:dyDescent="0.2">
      <c r="A50" t="s">
        <v>9</v>
      </c>
      <c r="B50" t="s">
        <v>36</v>
      </c>
      <c r="C50" s="3">
        <v>154316.97</v>
      </c>
      <c r="D50" s="3">
        <v>154318.95000000001</v>
      </c>
      <c r="E50" s="3">
        <v>154316.97</v>
      </c>
    </row>
    <row r="51" spans="1:5" x14ac:dyDescent="0.2">
      <c r="A51" t="s">
        <v>9</v>
      </c>
      <c r="B51" t="s">
        <v>37</v>
      </c>
      <c r="C51" s="3">
        <v>157511.25</v>
      </c>
      <c r="D51" s="3">
        <v>154318.95000000001</v>
      </c>
      <c r="E51" s="3">
        <v>151703.64000000001</v>
      </c>
    </row>
    <row r="52" spans="1:5" x14ac:dyDescent="0.2">
      <c r="A52" t="s">
        <v>9</v>
      </c>
      <c r="B52" t="s">
        <v>38</v>
      </c>
      <c r="C52" s="3">
        <v>154319.1</v>
      </c>
      <c r="D52" s="3">
        <v>154318.95000000001</v>
      </c>
      <c r="E52" s="3">
        <v>154316.97</v>
      </c>
    </row>
    <row r="53" spans="1:5" x14ac:dyDescent="0.2">
      <c r="A53" t="s">
        <v>10</v>
      </c>
      <c r="B53" t="s">
        <v>22</v>
      </c>
      <c r="C53" s="3">
        <v>142463.01</v>
      </c>
      <c r="D53" s="3">
        <v>142463.01</v>
      </c>
      <c r="E53" s="3">
        <v>142463.01</v>
      </c>
    </row>
    <row r="54" spans="1:5" x14ac:dyDescent="0.2">
      <c r="A54" t="s">
        <v>10</v>
      </c>
      <c r="B54" t="s">
        <v>23</v>
      </c>
      <c r="C54" s="3">
        <v>142470.31</v>
      </c>
      <c r="D54" s="3">
        <v>142463.01</v>
      </c>
      <c r="E54" s="3">
        <v>142470.29</v>
      </c>
    </row>
    <row r="55" spans="1:5" x14ac:dyDescent="0.2">
      <c r="A55" t="s">
        <v>10</v>
      </c>
      <c r="B55" t="s">
        <v>24</v>
      </c>
      <c r="C55" s="3">
        <v>142470.29</v>
      </c>
      <c r="D55" s="3">
        <v>142463.01</v>
      </c>
      <c r="E55" s="3">
        <v>142470.29</v>
      </c>
    </row>
    <row r="56" spans="1:5" x14ac:dyDescent="0.2">
      <c r="A56" t="s">
        <v>10</v>
      </c>
      <c r="B56" t="s">
        <v>25</v>
      </c>
      <c r="C56" s="3">
        <v>134616.35999999999</v>
      </c>
      <c r="D56" s="3">
        <v>142463.01</v>
      </c>
      <c r="E56" s="3">
        <v>181700.77</v>
      </c>
    </row>
    <row r="57" spans="1:5" x14ac:dyDescent="0.2">
      <c r="A57" t="s">
        <v>10</v>
      </c>
      <c r="B57" t="s">
        <v>26</v>
      </c>
      <c r="C57" s="3">
        <v>142370.71</v>
      </c>
      <c r="D57" s="3">
        <v>142463.01</v>
      </c>
      <c r="E57" s="3">
        <v>142470.74</v>
      </c>
    </row>
    <row r="58" spans="1:5" x14ac:dyDescent="0.2">
      <c r="A58" t="s">
        <v>10</v>
      </c>
      <c r="B58" t="s">
        <v>27</v>
      </c>
      <c r="C58" s="3">
        <v>141975.18</v>
      </c>
      <c r="D58" s="3">
        <v>142463.01</v>
      </c>
      <c r="E58" s="3">
        <v>136365.51</v>
      </c>
    </row>
    <row r="59" spans="1:5" x14ac:dyDescent="0.2">
      <c r="A59" t="s">
        <v>10</v>
      </c>
      <c r="B59" t="s">
        <v>28</v>
      </c>
      <c r="C59" s="3">
        <v>131293.19</v>
      </c>
      <c r="D59" s="3">
        <v>142463.01</v>
      </c>
      <c r="E59" s="3">
        <v>175400.1</v>
      </c>
    </row>
    <row r="60" spans="1:5" x14ac:dyDescent="0.2">
      <c r="A60" t="s">
        <v>10</v>
      </c>
      <c r="B60" t="s">
        <v>29</v>
      </c>
      <c r="C60" s="3">
        <v>256063.65</v>
      </c>
      <c r="D60" s="3">
        <v>142463.01</v>
      </c>
      <c r="E60" s="3">
        <v>70344.63</v>
      </c>
    </row>
    <row r="61" spans="1:5" x14ac:dyDescent="0.2">
      <c r="A61" t="s">
        <v>10</v>
      </c>
      <c r="B61" t="s">
        <v>30</v>
      </c>
      <c r="C61" s="3">
        <v>137768.37</v>
      </c>
      <c r="D61" s="3">
        <v>142463.01</v>
      </c>
      <c r="E61" s="3">
        <v>147152.95999999999</v>
      </c>
    </row>
    <row r="62" spans="1:5" x14ac:dyDescent="0.2">
      <c r="A62" t="s">
        <v>10</v>
      </c>
      <c r="B62" t="s">
        <v>31</v>
      </c>
      <c r="C62" s="3">
        <v>144859.64000000001</v>
      </c>
      <c r="D62" s="3">
        <v>142463.01</v>
      </c>
      <c r="E62" s="3">
        <v>140073.76</v>
      </c>
    </row>
    <row r="63" spans="1:5" x14ac:dyDescent="0.2">
      <c r="A63" t="s">
        <v>10</v>
      </c>
      <c r="B63" t="s">
        <v>32</v>
      </c>
      <c r="C63" s="3">
        <v>152737.16</v>
      </c>
      <c r="D63" s="3">
        <v>142463.01</v>
      </c>
      <c r="E63" s="3">
        <v>134069.66</v>
      </c>
    </row>
    <row r="64" spans="1:5" x14ac:dyDescent="0.2">
      <c r="A64" t="s">
        <v>10</v>
      </c>
      <c r="B64" t="s">
        <v>33</v>
      </c>
      <c r="C64" s="3">
        <v>138492.79999999999</v>
      </c>
      <c r="D64" s="3">
        <v>142463.01</v>
      </c>
      <c r="E64" s="3">
        <v>153168.92000000001</v>
      </c>
    </row>
    <row r="65" spans="1:5" x14ac:dyDescent="0.2">
      <c r="A65" t="s">
        <v>10</v>
      </c>
      <c r="B65" t="s">
        <v>34</v>
      </c>
      <c r="C65" s="3">
        <v>141447.18</v>
      </c>
      <c r="D65" s="3">
        <v>142463.01</v>
      </c>
      <c r="E65" s="3">
        <v>143582.6</v>
      </c>
    </row>
    <row r="66" spans="1:5" x14ac:dyDescent="0.2">
      <c r="A66" t="s">
        <v>10</v>
      </c>
      <c r="B66" t="s">
        <v>35</v>
      </c>
      <c r="C66" s="3">
        <v>142471.12</v>
      </c>
      <c r="D66" s="3">
        <v>142463.01</v>
      </c>
      <c r="E66" s="3">
        <v>142470.31</v>
      </c>
    </row>
    <row r="67" spans="1:5" x14ac:dyDescent="0.2">
      <c r="A67" t="s">
        <v>10</v>
      </c>
      <c r="B67" t="s">
        <v>36</v>
      </c>
      <c r="C67" s="3">
        <v>142470.29999999999</v>
      </c>
      <c r="D67" s="3">
        <v>142463.01</v>
      </c>
      <c r="E67" s="3">
        <v>142470.29999999999</v>
      </c>
    </row>
    <row r="68" spans="1:5" x14ac:dyDescent="0.2">
      <c r="A68" t="s">
        <v>10</v>
      </c>
      <c r="B68" t="s">
        <v>37</v>
      </c>
      <c r="C68" s="3">
        <v>143522.34</v>
      </c>
      <c r="D68" s="3">
        <v>142463.01</v>
      </c>
      <c r="E68" s="3">
        <v>141891.25</v>
      </c>
    </row>
    <row r="69" spans="1:5" x14ac:dyDescent="0.2">
      <c r="A69" t="s">
        <v>10</v>
      </c>
      <c r="B69" t="s">
        <v>38</v>
      </c>
      <c r="C69" s="3">
        <v>146811.48000000001</v>
      </c>
      <c r="D69" s="3">
        <v>142463.01</v>
      </c>
      <c r="E69" s="3">
        <v>141361.88</v>
      </c>
    </row>
    <row r="70" spans="1:5" x14ac:dyDescent="0.2">
      <c r="A70" t="s">
        <v>16</v>
      </c>
      <c r="B70" t="s">
        <v>22</v>
      </c>
      <c r="C70" s="3">
        <v>101494.91</v>
      </c>
      <c r="D70" s="3">
        <v>128479.27</v>
      </c>
      <c r="E70" s="3">
        <v>155463.64000000001</v>
      </c>
    </row>
    <row r="71" spans="1:5" x14ac:dyDescent="0.2">
      <c r="A71" t="s">
        <v>16</v>
      </c>
      <c r="B71" t="s">
        <v>23</v>
      </c>
      <c r="C71" s="3">
        <v>127770.56</v>
      </c>
      <c r="D71" s="3">
        <v>128479.27</v>
      </c>
      <c r="E71" s="3">
        <v>129542.34</v>
      </c>
    </row>
    <row r="72" spans="1:5" x14ac:dyDescent="0.2">
      <c r="A72" t="s">
        <v>16</v>
      </c>
      <c r="B72" t="s">
        <v>24</v>
      </c>
      <c r="C72" s="3">
        <v>127433.55</v>
      </c>
      <c r="D72" s="3">
        <v>128479.27</v>
      </c>
      <c r="E72" s="3">
        <v>130832.14</v>
      </c>
    </row>
    <row r="73" spans="1:5" x14ac:dyDescent="0.2">
      <c r="A73" t="s">
        <v>16</v>
      </c>
      <c r="B73" t="s">
        <v>25</v>
      </c>
      <c r="C73" s="3">
        <v>128479.27</v>
      </c>
      <c r="D73" s="3">
        <v>128479.27</v>
      </c>
      <c r="E73" s="3">
        <v>128479.27</v>
      </c>
    </row>
    <row r="74" spans="1:5" x14ac:dyDescent="0.2">
      <c r="A74" t="s">
        <v>16</v>
      </c>
      <c r="B74" t="s">
        <v>26</v>
      </c>
      <c r="C74" s="3">
        <v>128479.27</v>
      </c>
      <c r="D74" s="3">
        <v>128479.27</v>
      </c>
      <c r="E74" s="3">
        <v>128479.27</v>
      </c>
    </row>
    <row r="75" spans="1:5" x14ac:dyDescent="0.2">
      <c r="A75" t="s">
        <v>16</v>
      </c>
      <c r="B75" t="s">
        <v>27</v>
      </c>
      <c r="C75" s="3">
        <v>128479.27</v>
      </c>
      <c r="D75" s="3">
        <v>128479.27</v>
      </c>
      <c r="E75" s="3">
        <v>128479.27</v>
      </c>
    </row>
    <row r="76" spans="1:5" x14ac:dyDescent="0.2">
      <c r="A76" t="s">
        <v>16</v>
      </c>
      <c r="B76" t="s">
        <v>28</v>
      </c>
      <c r="C76" s="3">
        <v>128247.1</v>
      </c>
      <c r="D76" s="3">
        <v>128479.27</v>
      </c>
      <c r="E76" s="3">
        <v>128952.41</v>
      </c>
    </row>
    <row r="77" spans="1:5" x14ac:dyDescent="0.2">
      <c r="A77" t="s">
        <v>16</v>
      </c>
      <c r="B77" t="s">
        <v>29</v>
      </c>
      <c r="C77" s="3">
        <v>224191.89</v>
      </c>
      <c r="D77" s="3">
        <v>128479.27</v>
      </c>
      <c r="E77" s="3">
        <v>65557.399999999994</v>
      </c>
    </row>
    <row r="78" spans="1:5" x14ac:dyDescent="0.2">
      <c r="A78" t="s">
        <v>16</v>
      </c>
      <c r="B78" t="s">
        <v>30</v>
      </c>
      <c r="C78" s="3">
        <v>128479.27</v>
      </c>
      <c r="D78" s="3">
        <v>128479.27</v>
      </c>
      <c r="E78" s="3">
        <v>128479.27</v>
      </c>
    </row>
    <row r="79" spans="1:5" x14ac:dyDescent="0.2">
      <c r="A79" t="s">
        <v>16</v>
      </c>
      <c r="B79" t="s">
        <v>31</v>
      </c>
      <c r="C79" s="3">
        <v>128479.27</v>
      </c>
      <c r="D79" s="3">
        <v>128479.27</v>
      </c>
      <c r="E79" s="3">
        <v>128479.27</v>
      </c>
    </row>
    <row r="80" spans="1:5" x14ac:dyDescent="0.2">
      <c r="A80" t="s">
        <v>16</v>
      </c>
      <c r="B80" t="s">
        <v>32</v>
      </c>
      <c r="C80" s="3">
        <v>128479.27</v>
      </c>
      <c r="D80" s="3">
        <v>128479.27</v>
      </c>
      <c r="E80" s="3">
        <v>128479.27</v>
      </c>
    </row>
    <row r="81" spans="1:5" x14ac:dyDescent="0.2">
      <c r="A81" t="s">
        <v>16</v>
      </c>
      <c r="B81" t="s">
        <v>33</v>
      </c>
      <c r="C81" s="3">
        <v>128479.27</v>
      </c>
      <c r="D81" s="3">
        <v>128479.27</v>
      </c>
      <c r="E81" s="3">
        <v>128479.27</v>
      </c>
    </row>
    <row r="82" spans="1:5" x14ac:dyDescent="0.2">
      <c r="A82" t="s">
        <v>16</v>
      </c>
      <c r="B82" t="s">
        <v>34</v>
      </c>
      <c r="C82" s="3">
        <v>128479.27</v>
      </c>
      <c r="D82" s="3">
        <v>128479.27</v>
      </c>
      <c r="E82" s="3">
        <v>128479.27</v>
      </c>
    </row>
    <row r="83" spans="1:5" x14ac:dyDescent="0.2">
      <c r="A83" t="s">
        <v>16</v>
      </c>
      <c r="B83" t="s">
        <v>35</v>
      </c>
      <c r="C83" s="3">
        <v>128479.27</v>
      </c>
      <c r="D83" s="3">
        <v>128479.27</v>
      </c>
      <c r="E83" s="3">
        <v>128479.27</v>
      </c>
    </row>
    <row r="84" spans="1:5" x14ac:dyDescent="0.2">
      <c r="A84" t="s">
        <v>16</v>
      </c>
      <c r="B84" t="s">
        <v>36</v>
      </c>
      <c r="C84" s="3">
        <v>128479.27</v>
      </c>
      <c r="D84" s="3">
        <v>128479.27</v>
      </c>
      <c r="E84" s="3">
        <v>128479.27</v>
      </c>
    </row>
    <row r="85" spans="1:5" x14ac:dyDescent="0.2">
      <c r="A85" t="s">
        <v>16</v>
      </c>
      <c r="B85" t="s">
        <v>37</v>
      </c>
      <c r="C85" s="3">
        <v>128479.27</v>
      </c>
      <c r="D85" s="3">
        <v>128479.27</v>
      </c>
      <c r="E85" s="3">
        <v>128479.27</v>
      </c>
    </row>
    <row r="86" spans="1:5" x14ac:dyDescent="0.2">
      <c r="A86" t="s">
        <v>16</v>
      </c>
      <c r="B86" t="s">
        <v>38</v>
      </c>
      <c r="C86" s="3">
        <v>128479.27</v>
      </c>
      <c r="D86" s="3">
        <v>128479.27</v>
      </c>
      <c r="E86" s="3">
        <v>128479.27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B6FF2-F109-9E48-80D6-DDCAB6978C97}">
  <dimension ref="A1:C25"/>
  <sheetViews>
    <sheetView tabSelected="1" workbookViewId="0">
      <selection activeCell="H13" sqref="H13"/>
    </sheetView>
  </sheetViews>
  <sheetFormatPr baseColWidth="10" defaultRowHeight="16" x14ac:dyDescent="0.2"/>
  <cols>
    <col min="2" max="2" width="30.6640625" bestFit="1" customWidth="1"/>
    <col min="3" max="3" width="10.83203125" style="3"/>
  </cols>
  <sheetData>
    <row r="1" spans="1:3" x14ac:dyDescent="0.2">
      <c r="A1" t="s">
        <v>4</v>
      </c>
      <c r="B1" t="s">
        <v>18</v>
      </c>
      <c r="C1" s="3" t="s">
        <v>1</v>
      </c>
    </row>
    <row r="2" spans="1:3" x14ac:dyDescent="0.2">
      <c r="A2" t="s">
        <v>5</v>
      </c>
      <c r="B2" t="s">
        <v>50</v>
      </c>
      <c r="C2" s="3">
        <v>186</v>
      </c>
    </row>
    <row r="3" spans="1:3" x14ac:dyDescent="0.2">
      <c r="A3" t="s">
        <v>5</v>
      </c>
      <c r="B3" t="s">
        <v>51</v>
      </c>
      <c r="C3" s="3">
        <v>3000</v>
      </c>
    </row>
    <row r="4" spans="1:3" x14ac:dyDescent="0.2">
      <c r="A4" t="s">
        <v>5</v>
      </c>
      <c r="B4" t="s">
        <v>52</v>
      </c>
      <c r="C4" s="3">
        <v>10</v>
      </c>
    </row>
    <row r="5" spans="1:3" x14ac:dyDescent="0.2">
      <c r="A5" t="s">
        <v>5</v>
      </c>
      <c r="B5" t="s">
        <v>53</v>
      </c>
      <c r="C5" s="3">
        <v>200</v>
      </c>
    </row>
    <row r="6" spans="1:3" x14ac:dyDescent="0.2">
      <c r="A6" t="s">
        <v>5</v>
      </c>
      <c r="B6" t="s">
        <v>54</v>
      </c>
      <c r="C6" s="3">
        <v>500</v>
      </c>
    </row>
    <row r="7" spans="1:3" x14ac:dyDescent="0.2">
      <c r="A7" t="s">
        <v>5</v>
      </c>
      <c r="B7" t="s">
        <v>55</v>
      </c>
      <c r="C7" s="3">
        <v>500</v>
      </c>
    </row>
    <row r="8" spans="1:3" x14ac:dyDescent="0.2">
      <c r="A8" t="s">
        <v>5</v>
      </c>
      <c r="B8" t="s">
        <v>56</v>
      </c>
      <c r="C8" s="3">
        <v>0.85</v>
      </c>
    </row>
    <row r="9" spans="1:3" x14ac:dyDescent="0.2">
      <c r="A9" t="s">
        <v>5</v>
      </c>
      <c r="B9" t="s">
        <v>57</v>
      </c>
      <c r="C9" s="3">
        <v>0.15</v>
      </c>
    </row>
    <row r="10" spans="1:3" x14ac:dyDescent="0.2">
      <c r="A10" t="s">
        <v>39</v>
      </c>
      <c r="B10" t="s">
        <v>50</v>
      </c>
      <c r="C10" s="3">
        <v>1810</v>
      </c>
    </row>
    <row r="11" spans="1:3" x14ac:dyDescent="0.2">
      <c r="A11" t="s">
        <v>39</v>
      </c>
      <c r="B11" t="s">
        <v>51</v>
      </c>
      <c r="C11" s="3">
        <v>13156</v>
      </c>
    </row>
    <row r="12" spans="1:3" x14ac:dyDescent="0.2">
      <c r="A12" t="s">
        <v>39</v>
      </c>
      <c r="B12" t="s">
        <v>52</v>
      </c>
      <c r="C12" s="3">
        <v>10</v>
      </c>
    </row>
    <row r="13" spans="1:3" x14ac:dyDescent="0.2">
      <c r="A13" t="s">
        <v>39</v>
      </c>
      <c r="B13" t="s">
        <v>53</v>
      </c>
      <c r="C13" s="3">
        <v>200</v>
      </c>
    </row>
    <row r="14" spans="1:3" x14ac:dyDescent="0.2">
      <c r="A14" t="s">
        <v>39</v>
      </c>
      <c r="B14" t="s">
        <v>54</v>
      </c>
      <c r="C14" s="3">
        <v>500</v>
      </c>
    </row>
    <row r="15" spans="1:3" x14ac:dyDescent="0.2">
      <c r="A15" t="s">
        <v>39</v>
      </c>
      <c r="B15" t="s">
        <v>55</v>
      </c>
      <c r="C15" s="3">
        <v>1000</v>
      </c>
    </row>
    <row r="16" spans="1:3" x14ac:dyDescent="0.2">
      <c r="A16" t="s">
        <v>39</v>
      </c>
      <c r="B16" t="s">
        <v>56</v>
      </c>
      <c r="C16" s="3">
        <v>0.1</v>
      </c>
    </row>
    <row r="17" spans="1:3" x14ac:dyDescent="0.2">
      <c r="A17" t="s">
        <v>39</v>
      </c>
      <c r="B17" t="s">
        <v>57</v>
      </c>
      <c r="C17" s="3">
        <v>0.9</v>
      </c>
    </row>
    <row r="18" spans="1:3" x14ac:dyDescent="0.2">
      <c r="A18" t="s">
        <v>58</v>
      </c>
      <c r="B18" t="s">
        <v>50</v>
      </c>
      <c r="C18" s="3">
        <v>100</v>
      </c>
    </row>
    <row r="19" spans="1:3" x14ac:dyDescent="0.2">
      <c r="A19" t="s">
        <v>58</v>
      </c>
      <c r="B19" t="s">
        <v>51</v>
      </c>
      <c r="C19" s="3">
        <v>1500</v>
      </c>
    </row>
    <row r="20" spans="1:3" x14ac:dyDescent="0.2">
      <c r="A20" t="s">
        <v>58</v>
      </c>
      <c r="B20" t="s">
        <v>52</v>
      </c>
      <c r="C20" s="3">
        <v>20</v>
      </c>
    </row>
    <row r="21" spans="1:3" x14ac:dyDescent="0.2">
      <c r="A21" t="s">
        <v>58</v>
      </c>
      <c r="B21" t="s">
        <v>53</v>
      </c>
      <c r="C21" s="3">
        <v>200</v>
      </c>
    </row>
    <row r="22" spans="1:3" x14ac:dyDescent="0.2">
      <c r="A22" t="s">
        <v>58</v>
      </c>
      <c r="B22" t="s">
        <v>54</v>
      </c>
      <c r="C22" s="3">
        <v>500</v>
      </c>
    </row>
    <row r="23" spans="1:3" x14ac:dyDescent="0.2">
      <c r="A23" t="s">
        <v>58</v>
      </c>
      <c r="B23" t="s">
        <v>55</v>
      </c>
      <c r="C23" s="3">
        <v>500</v>
      </c>
    </row>
    <row r="24" spans="1:3" x14ac:dyDescent="0.2">
      <c r="A24" t="s">
        <v>58</v>
      </c>
      <c r="B24" t="s">
        <v>56</v>
      </c>
      <c r="C24" s="3">
        <v>0.25</v>
      </c>
    </row>
    <row r="25" spans="1:3" x14ac:dyDescent="0.2">
      <c r="A25" t="s">
        <v>58</v>
      </c>
      <c r="B25" t="s">
        <v>57</v>
      </c>
      <c r="C25" s="3">
        <v>0.75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F7682-6777-AF40-9C7C-FFC0ACC3EED6}">
  <dimension ref="A1:F3"/>
  <sheetViews>
    <sheetView workbookViewId="0">
      <selection activeCell="G12" sqref="G12"/>
    </sheetView>
  </sheetViews>
  <sheetFormatPr baseColWidth="10" defaultRowHeight="16" x14ac:dyDescent="0.2"/>
  <sheetData>
    <row r="1" spans="1:6" x14ac:dyDescent="0.2">
      <c r="A1" t="s">
        <v>3</v>
      </c>
      <c r="B1" t="s">
        <v>40</v>
      </c>
      <c r="C1" t="s">
        <v>48</v>
      </c>
      <c r="D1" t="s">
        <v>49</v>
      </c>
      <c r="E1" t="s">
        <v>46</v>
      </c>
      <c r="F1" t="s">
        <v>47</v>
      </c>
    </row>
    <row r="2" spans="1:6" x14ac:dyDescent="0.2">
      <c r="A2">
        <v>1</v>
      </c>
      <c r="B2" t="s">
        <v>5</v>
      </c>
      <c r="C2">
        <v>51.8837507</v>
      </c>
      <c r="D2">
        <v>5.2129943000000001</v>
      </c>
      <c r="E2">
        <v>5000</v>
      </c>
    </row>
    <row r="3" spans="1:6" x14ac:dyDescent="0.2">
      <c r="A3">
        <v>2</v>
      </c>
      <c r="B3" t="s">
        <v>41</v>
      </c>
      <c r="C3">
        <v>52.223329999999997</v>
      </c>
      <c r="D3">
        <v>5.1763899999999996</v>
      </c>
      <c r="E3">
        <v>20000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29319-C32D-134F-AC0B-5B3BA6AF47EB}">
  <dimension ref="A1:B4"/>
  <sheetViews>
    <sheetView workbookViewId="0">
      <selection activeCell="D13" sqref="D13"/>
    </sheetView>
  </sheetViews>
  <sheetFormatPr baseColWidth="10" defaultRowHeight="16" x14ac:dyDescent="0.2"/>
  <sheetData>
    <row r="1" spans="1:2" x14ac:dyDescent="0.2">
      <c r="A1">
        <v>3</v>
      </c>
      <c r="B1" t="s">
        <v>42</v>
      </c>
    </row>
    <row r="2" spans="1:2" x14ac:dyDescent="0.2">
      <c r="A2">
        <v>4</v>
      </c>
      <c r="B2" t="s">
        <v>43</v>
      </c>
    </row>
    <row r="3" spans="1:2" x14ac:dyDescent="0.2">
      <c r="A3">
        <v>5</v>
      </c>
      <c r="B3" t="s">
        <v>44</v>
      </c>
    </row>
    <row r="4" spans="1:2" x14ac:dyDescent="0.2">
      <c r="A4">
        <v>6</v>
      </c>
      <c r="B4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tco</vt:lpstr>
      <vt:lpstr>peu</vt:lpstr>
      <vt:lpstr>capex</vt:lpstr>
      <vt:lpstr>sensitivity</vt:lpstr>
      <vt:lpstr>location</vt:lpstr>
      <vt:lpstr>map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 Canfield</dc:creator>
  <cp:lastModifiedBy>Kristin Canfield</cp:lastModifiedBy>
  <dcterms:created xsi:type="dcterms:W3CDTF">2026-06-16T14:01:27Z</dcterms:created>
  <dcterms:modified xsi:type="dcterms:W3CDTF">2026-06-17T14:17:24Z</dcterms:modified>
</cp:coreProperties>
</file>