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canfield/Development/uu-consultancy/"/>
    </mc:Choice>
  </mc:AlternateContent>
  <xr:revisionPtr revIDLastSave="0" documentId="13_ncr:1_{C4BFB273-E56C-5B4A-AB17-12CA6C58B789}" xr6:coauthVersionLast="47" xr6:coauthVersionMax="47" xr10:uidLastSave="{00000000-0000-0000-0000-000000000000}"/>
  <bookViews>
    <workbookView xWindow="1480" yWindow="1740" windowWidth="27240" windowHeight="16080" xr2:uid="{32A3E7A0-C034-E447-905E-A5AE5646D74E}"/>
  </bookViews>
  <sheets>
    <sheet name="tco" sheetId="1" r:id="rId1"/>
    <sheet name="peu" sheetId="3" r:id="rId2"/>
    <sheet name="capex" sheetId="2" r:id="rId3"/>
  </sheets>
  <calcPr calcId="181029" concurrentManualCount="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2" i="1"/>
  <c r="A3" i="1"/>
</calcChain>
</file>

<file path=xl/sharedStrings.xml><?xml version="1.0" encoding="utf-8"?>
<sst xmlns="http://schemas.openxmlformats.org/spreadsheetml/2006/main" count="60" uniqueCount="19">
  <si>
    <t>configuration</t>
  </si>
  <si>
    <t>value</t>
  </si>
  <si>
    <t>category</t>
  </si>
  <si>
    <t>id</t>
  </si>
  <si>
    <t>technology</t>
  </si>
  <si>
    <t>location</t>
  </si>
  <si>
    <t>Enspijk</t>
  </si>
  <si>
    <t>AWHP individual</t>
  </si>
  <si>
    <t>Source</t>
  </si>
  <si>
    <t>Heat Plant</t>
  </si>
  <si>
    <t>Distribution</t>
  </si>
  <si>
    <t>AWHP collective</t>
  </si>
  <si>
    <t>Geothermal</t>
  </si>
  <si>
    <t>Aquathermal</t>
  </si>
  <si>
    <t>Natural gas</t>
  </si>
  <si>
    <t>PEU</t>
  </si>
  <si>
    <t>kWh/house</t>
  </si>
  <si>
    <t>unit</t>
  </si>
  <si>
    <t>tco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</si>
</sst>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54B32-49CF-DA45-A7BA-34DDFD70138D}">
  <dimension ref="A1:D6"/>
  <sheetViews>
    <sheetView tabSelected="1" workbookViewId="0">
      <selection activeCell="A24" sqref="A24"/>
    </sheetView>
  </sheetViews>
  <sheetFormatPr baseColWidth="10" defaultRowHeight="16" x14ac:dyDescent="0.2"/>
  <cols>
    <col min="1" max="1" width="27.6640625" bestFit="1" customWidth="1"/>
    <col min="2" max="2" width="29.33203125" bestFit="1" customWidth="1"/>
  </cols>
  <sheetData>
    <row r="1" spans="1:4" x14ac:dyDescent="0.2">
      <c r="A1" s="1" t="s">
        <v>3</v>
      </c>
      <c r="B1" s="1" t="s">
        <v>4</v>
      </c>
      <c r="C1" s="1" t="s">
        <v>18</v>
      </c>
      <c r="D1" s="1" t="s">
        <v>5</v>
      </c>
    </row>
    <row r="2" spans="1:4" x14ac:dyDescent="0.2">
      <c r="A2" t="str">
        <f>_xlfn.CONCAT(B2,"_",D2)</f>
        <v>Natural gas_Enspijk</v>
      </c>
      <c r="B2" t="s">
        <v>14</v>
      </c>
      <c r="C2">
        <v>128479.27</v>
      </c>
      <c r="D2" t="s">
        <v>6</v>
      </c>
    </row>
    <row r="3" spans="1:4" x14ac:dyDescent="0.2">
      <c r="A3" t="str">
        <f>_xlfn.CONCAT(B3,"_",D3)</f>
        <v>AWHP individual_Enspijk</v>
      </c>
      <c r="B3" t="s">
        <v>7</v>
      </c>
      <c r="C3">
        <v>226283</v>
      </c>
      <c r="D3" t="s">
        <v>6</v>
      </c>
    </row>
    <row r="4" spans="1:4" x14ac:dyDescent="0.2">
      <c r="A4" t="str">
        <f>_xlfn.CONCAT(B4,"_",D4)</f>
        <v>AWHP collective_Enspijk</v>
      </c>
      <c r="B4" t="s">
        <v>11</v>
      </c>
      <c r="C4">
        <v>145837.35</v>
      </c>
      <c r="D4" t="s">
        <v>6</v>
      </c>
    </row>
    <row r="5" spans="1:4" x14ac:dyDescent="0.2">
      <c r="A5" t="str">
        <f>_xlfn.CONCAT(B5,"_",D5)</f>
        <v>Geothermal_Enspijk</v>
      </c>
      <c r="B5" t="s">
        <v>12</v>
      </c>
      <c r="C5">
        <v>154318.95000000001</v>
      </c>
      <c r="D5" t="s">
        <v>6</v>
      </c>
    </row>
    <row r="6" spans="1:4" x14ac:dyDescent="0.2">
      <c r="A6" t="str">
        <f>_xlfn.CONCAT(B6,"_",D6)</f>
        <v>Aquathermal_Enspijk</v>
      </c>
      <c r="B6" t="s">
        <v>13</v>
      </c>
      <c r="C6">
        <v>142463.01</v>
      </c>
      <c r="D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0F79F-759F-F344-8268-DE15C599ED4F}">
  <dimension ref="A1:C6"/>
  <sheetViews>
    <sheetView workbookViewId="0">
      <selection activeCell="A2" sqref="A2"/>
    </sheetView>
  </sheetViews>
  <sheetFormatPr baseColWidth="10" defaultRowHeight="16" x14ac:dyDescent="0.2"/>
  <cols>
    <col min="1" max="1" width="14.6640625" bestFit="1" customWidth="1"/>
    <col min="2" max="2" width="12.1640625" bestFit="1" customWidth="1"/>
    <col min="3" max="3" width="10.5" bestFit="1" customWidth="1"/>
  </cols>
  <sheetData>
    <row r="1" spans="1:3" x14ac:dyDescent="0.2">
      <c r="A1" t="s">
        <v>0</v>
      </c>
      <c r="B1" t="s">
        <v>15</v>
      </c>
      <c r="C1" t="s">
        <v>17</v>
      </c>
    </row>
    <row r="2" spans="1:3" x14ac:dyDescent="0.2">
      <c r="A2" t="s">
        <v>14</v>
      </c>
      <c r="B2">
        <v>16290.310380000001</v>
      </c>
      <c r="C2" t="s">
        <v>16</v>
      </c>
    </row>
    <row r="3" spans="1:3" x14ac:dyDescent="0.2">
      <c r="A3" t="s">
        <v>7</v>
      </c>
      <c r="B3">
        <v>8055.3820610000002</v>
      </c>
      <c r="C3" t="s">
        <v>16</v>
      </c>
    </row>
    <row r="4" spans="1:3" x14ac:dyDescent="0.2">
      <c r="A4" t="s">
        <v>11</v>
      </c>
      <c r="B4">
        <v>11860.21387</v>
      </c>
      <c r="C4" t="s">
        <v>16</v>
      </c>
    </row>
    <row r="5" spans="1:3" x14ac:dyDescent="0.2">
      <c r="A5" t="s">
        <v>13</v>
      </c>
      <c r="B5">
        <v>8341.8224470000005</v>
      </c>
      <c r="C5" t="s">
        <v>16</v>
      </c>
    </row>
    <row r="6" spans="1:3" ht="15" customHeight="1" x14ac:dyDescent="0.2">
      <c r="A6" t="s">
        <v>12</v>
      </c>
      <c r="B6">
        <v>6658.08878</v>
      </c>
      <c r="C6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417DA-88A9-2242-BB46-EE389DD93EB6}">
  <dimension ref="A1:C16"/>
  <sheetViews>
    <sheetView workbookViewId="0">
      <selection activeCell="G11" sqref="G11"/>
    </sheetView>
  </sheetViews>
  <sheetFormatPr baseColWidth="10" defaultRowHeight="16" x14ac:dyDescent="0.2"/>
  <cols>
    <col min="1" max="1" width="14.6640625" bestFit="1" customWidth="1"/>
  </cols>
  <sheetData>
    <row r="1" spans="1:3" x14ac:dyDescent="0.2">
      <c r="A1" t="s">
        <v>0</v>
      </c>
      <c r="B1" t="s">
        <v>2</v>
      </c>
      <c r="C1" t="s">
        <v>1</v>
      </c>
    </row>
    <row r="2" spans="1:3" x14ac:dyDescent="0.2">
      <c r="A2" t="s">
        <v>7</v>
      </c>
      <c r="B2" t="s">
        <v>8</v>
      </c>
      <c r="C2">
        <v>0</v>
      </c>
    </row>
    <row r="3" spans="1:3" x14ac:dyDescent="0.2">
      <c r="A3" t="s">
        <v>7</v>
      </c>
      <c r="B3" t="s">
        <v>9</v>
      </c>
      <c r="C3">
        <v>149556.9</v>
      </c>
    </row>
    <row r="4" spans="1:3" x14ac:dyDescent="0.2">
      <c r="A4" t="s">
        <v>7</v>
      </c>
      <c r="B4" t="s">
        <v>10</v>
      </c>
      <c r="C4">
        <v>10000</v>
      </c>
    </row>
    <row r="5" spans="1:3" x14ac:dyDescent="0.2">
      <c r="A5" t="s">
        <v>11</v>
      </c>
      <c r="B5" t="s">
        <v>8</v>
      </c>
      <c r="C5">
        <v>6.9405479999999997</v>
      </c>
    </row>
    <row r="6" spans="1:3" x14ac:dyDescent="0.2">
      <c r="A6" t="s">
        <v>11</v>
      </c>
      <c r="B6" t="s">
        <v>9</v>
      </c>
      <c r="C6">
        <v>63999.18</v>
      </c>
    </row>
    <row r="7" spans="1:3" x14ac:dyDescent="0.2">
      <c r="A7" t="s">
        <v>11</v>
      </c>
      <c r="B7" t="s">
        <v>10</v>
      </c>
      <c r="C7">
        <v>38872.67</v>
      </c>
    </row>
    <row r="8" spans="1:3" x14ac:dyDescent="0.2">
      <c r="A8" t="s">
        <v>12</v>
      </c>
      <c r="B8" t="s">
        <v>8</v>
      </c>
      <c r="C8">
        <v>32046.16</v>
      </c>
    </row>
    <row r="9" spans="1:3" x14ac:dyDescent="0.2">
      <c r="A9" t="s">
        <v>12</v>
      </c>
      <c r="B9" t="s">
        <v>9</v>
      </c>
      <c r="C9">
        <v>57555.39</v>
      </c>
    </row>
    <row r="10" spans="1:3" x14ac:dyDescent="0.2">
      <c r="A10" t="s">
        <v>12</v>
      </c>
      <c r="B10" t="s">
        <v>10</v>
      </c>
      <c r="C10">
        <v>38872.67</v>
      </c>
    </row>
    <row r="11" spans="1:3" x14ac:dyDescent="0.2">
      <c r="A11" t="s">
        <v>13</v>
      </c>
      <c r="B11" t="s">
        <v>8</v>
      </c>
      <c r="C11">
        <v>23889.3</v>
      </c>
    </row>
    <row r="12" spans="1:3" x14ac:dyDescent="0.2">
      <c r="A12" t="s">
        <v>13</v>
      </c>
      <c r="B12" t="s">
        <v>9</v>
      </c>
      <c r="C12">
        <v>57555.39</v>
      </c>
    </row>
    <row r="13" spans="1:3" x14ac:dyDescent="0.2">
      <c r="A13" t="s">
        <v>13</v>
      </c>
      <c r="B13" t="s">
        <v>10</v>
      </c>
      <c r="C13">
        <v>38872.67</v>
      </c>
    </row>
    <row r="14" spans="1:3" x14ac:dyDescent="0.2">
      <c r="A14" t="s">
        <v>14</v>
      </c>
      <c r="B14" t="s">
        <v>8</v>
      </c>
      <c r="C14">
        <v>0</v>
      </c>
    </row>
    <row r="15" spans="1:3" x14ac:dyDescent="0.2">
      <c r="A15" t="s">
        <v>14</v>
      </c>
      <c r="B15" t="s">
        <v>9</v>
      </c>
      <c r="C15">
        <v>11807.19</v>
      </c>
    </row>
    <row r="16" spans="1:3" x14ac:dyDescent="0.2">
      <c r="A16" t="s">
        <v>14</v>
      </c>
      <c r="B16" t="s">
        <v>10</v>
      </c>
      <c r="C1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tco</vt:lpstr>
      <vt:lpstr>peu</vt:lpstr>
      <vt:lpstr>capex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 Canfield</dc:creator>
  <cp:lastModifiedBy>Kristin Canfield</cp:lastModifiedBy>
  <dcterms:created xsi:type="dcterms:W3CDTF">2026-06-16T14:01:27Z</dcterms:created>
  <dcterms:modified xsi:type="dcterms:W3CDTF">2026-06-16T14:37:39Z</dcterms:modified>
</cp:coreProperties>
</file>